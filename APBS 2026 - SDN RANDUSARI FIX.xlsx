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2025\APBS 2026 FIX\"/>
    </mc:Choice>
  </mc:AlternateContent>
  <xr:revisionPtr revIDLastSave="0" documentId="13_ncr:1_{C0A081AC-3909-4B46-84E8-2AF75F3804AB}" xr6:coauthVersionLast="47" xr6:coauthVersionMax="47" xr10:uidLastSave="{00000000-0000-0000-0000-000000000000}"/>
  <bookViews>
    <workbookView xWindow="-120" yWindow="-120" windowWidth="29040" windowHeight="15720" tabRatio="905" firstSheet="3" activeTab="6" xr2:uid="{1B34861F-5955-453B-B725-52478CAC12C1}"/>
  </bookViews>
  <sheets>
    <sheet name="SAMPUL" sheetId="1" r:id="rId1"/>
    <sheet name="lembar pengesahan" sheetId="2" r:id="rId2"/>
    <sheet name="DPA SP" sheetId="3" r:id="rId3"/>
    <sheet name="DPA SP 1" sheetId="4" r:id="rId4"/>
    <sheet name="DPA SP 5" sheetId="5" r:id="rId5"/>
    <sheet name="DPA SP 5 1" sheetId="6" r:id="rId6"/>
    <sheet name="5.1.2" sheetId="19" r:id="rId7"/>
    <sheet name="5.2.1" sheetId="23" r:id="rId8"/>
    <sheet name="5.3.1" sheetId="12" r:id="rId9"/>
    <sheet name="5.3.2" sheetId="17" r:id="rId10"/>
    <sheet name="5.3.3" sheetId="13" r:id="rId11"/>
    <sheet name="5.4.2" sheetId="14" r:id="rId12"/>
    <sheet name="5.5.1" sheetId="7" r:id="rId13"/>
    <sheet name="5.5.3" sheetId="20" r:id="rId14"/>
    <sheet name="5.5.5" sheetId="9" r:id="rId15"/>
    <sheet name="5.5.7" sheetId="10" r:id="rId16"/>
    <sheet name="5.6.2" sheetId="15" r:id="rId17"/>
    <sheet name="5.7.1" sheetId="16" r:id="rId18"/>
    <sheet name="5.7.2" sheetId="11" r:id="rId19"/>
    <sheet name="5.7.5" sheetId="18" r:id="rId20"/>
    <sheet name="5.8" sheetId="22" r:id="rId21"/>
    <sheet name="ProKeg" sheetId="8" r:id="rId22"/>
  </sheets>
  <definedNames>
    <definedName name="_xlnm.Print_Area" localSheetId="6">'5.1.2'!$A$1:$AJ$74</definedName>
    <definedName name="_xlnm.Print_Area" localSheetId="7">'5.2.1'!$A$1:$AJ$65</definedName>
    <definedName name="_xlnm.Print_Area" localSheetId="8">'5.3.1'!$A$1:$AJ$69</definedName>
    <definedName name="_xlnm.Print_Area" localSheetId="9">'5.3.2'!$A$1:$AJ$56</definedName>
    <definedName name="_xlnm.Print_Area" localSheetId="10">'5.3.3'!$A$1:$AJ$79</definedName>
    <definedName name="_xlnm.Print_Area" localSheetId="11">'5.4.2'!$A$1:$AJ$69</definedName>
    <definedName name="_xlnm.Print_Area" localSheetId="12">'5.5.1'!$A$1:$AJ$57</definedName>
    <definedName name="_xlnm.Print_Area" localSheetId="13">'5.5.3'!$A$1:$AJ$56</definedName>
    <definedName name="_xlnm.Print_Area" localSheetId="14">'5.5.5'!$A$1:$AJ$142</definedName>
    <definedName name="_xlnm.Print_Area" localSheetId="15">'5.5.7'!$A$1:$AJ$85</definedName>
    <definedName name="_xlnm.Print_Area" localSheetId="16">'5.6.2'!$A$1:$AJ$61</definedName>
    <definedName name="_xlnm.Print_Area" localSheetId="17">'5.7.1'!$A$1:$AJ$59</definedName>
    <definedName name="_xlnm.Print_Area" localSheetId="18">'5.7.2'!$A$1:$AJ$63</definedName>
    <definedName name="_xlnm.Print_Area" localSheetId="19">'5.7.5'!$A$1:$AJ$65</definedName>
    <definedName name="_xlnm.Print_Area" localSheetId="20">'5.8'!$A$1:$AJ$61</definedName>
    <definedName name="_xlnm.Print_Titles" localSheetId="6">'5.1.2'!$31:$36</definedName>
    <definedName name="_xlnm.Print_Titles" localSheetId="7">'5.2.1'!$31:$36</definedName>
    <definedName name="_xlnm.Print_Titles" localSheetId="8">'5.3.1'!$31:$36</definedName>
    <definedName name="_xlnm.Print_Titles" localSheetId="9">'5.3.2'!$31:$36</definedName>
    <definedName name="_xlnm.Print_Titles" localSheetId="10">'5.3.3'!$33:$38</definedName>
    <definedName name="_xlnm.Print_Titles" localSheetId="11">'5.4.2'!$31:$36</definedName>
    <definedName name="_xlnm.Print_Titles" localSheetId="12">'5.5.1'!$31:$36</definedName>
    <definedName name="_xlnm.Print_Titles" localSheetId="13">'5.5.3'!$31:$36</definedName>
    <definedName name="_xlnm.Print_Titles" localSheetId="14">'5.5.5'!$33:$38</definedName>
    <definedName name="_xlnm.Print_Titles" localSheetId="15">'5.5.7'!$31:$36</definedName>
    <definedName name="_xlnm.Print_Titles" localSheetId="16">'5.6.2'!$31:$36</definedName>
    <definedName name="_xlnm.Print_Titles" localSheetId="17">'5.7.1'!$31:$36</definedName>
    <definedName name="_xlnm.Print_Titles" localSheetId="18">'5.7.2'!$31:$36</definedName>
    <definedName name="_xlnm.Print_Titles" localSheetId="19">'5.7.5'!$31:$36</definedName>
    <definedName name="_xlnm.Print_Titles" localSheetId="20">'5.8'!$31:$36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108" i="9" l="1"/>
  <c r="W106" i="9"/>
  <c r="W105" i="9"/>
  <c r="W104" i="9"/>
  <c r="W103" i="9"/>
  <c r="W44" i="9"/>
  <c r="W50" i="9"/>
  <c r="W65" i="9"/>
  <c r="W73" i="9"/>
  <c r="W98" i="9"/>
  <c r="W109" i="9"/>
  <c r="W110" i="9"/>
  <c r="W118" i="9"/>
  <c r="W53" i="13"/>
  <c r="N67" i="6"/>
  <c r="Z54" i="7"/>
  <c r="Z53" i="7"/>
  <c r="W43" i="10"/>
  <c r="Z51" i="7"/>
  <c r="Y80" i="19"/>
  <c r="W42" i="19"/>
  <c r="W45" i="15"/>
  <c r="W48" i="15"/>
  <c r="W62" i="19"/>
  <c r="Y94" i="19"/>
  <c r="W45" i="22"/>
  <c r="Y93" i="19"/>
  <c r="Y92" i="19"/>
  <c r="Y91" i="19"/>
  <c r="Y89" i="19"/>
  <c r="Y88" i="19"/>
  <c r="Y87" i="19"/>
  <c r="Y86" i="19"/>
  <c r="Y85" i="19"/>
  <c r="Y83" i="19"/>
  <c r="Y82" i="19"/>
  <c r="Y81" i="19"/>
  <c r="W46" i="15" l="1"/>
  <c r="W61" i="10"/>
  <c r="W44" i="16"/>
  <c r="T51" i="14"/>
  <c r="W51" i="14" s="1"/>
  <c r="T96" i="9"/>
  <c r="W96" i="9" s="1"/>
  <c r="W84" i="9" s="1"/>
  <c r="T47" i="9"/>
  <c r="W47" i="9" s="1"/>
  <c r="T108" i="9"/>
  <c r="T120" i="9"/>
  <c r="W120" i="9" s="1"/>
  <c r="T79" i="9"/>
  <c r="W79" i="9" s="1"/>
  <c r="T78" i="9"/>
  <c r="W78" i="9" s="1"/>
  <c r="T68" i="9"/>
  <c r="W68" i="9" s="1"/>
  <c r="T63" i="9"/>
  <c r="W63" i="9" s="1"/>
  <c r="T62" i="9"/>
  <c r="W62" i="9" s="1"/>
  <c r="T45" i="9"/>
  <c r="T46" i="9"/>
  <c r="W46" i="12"/>
  <c r="W45" i="12"/>
  <c r="W65" i="10"/>
  <c r="W64" i="10"/>
  <c r="W63" i="10"/>
  <c r="AD63" i="10" s="1"/>
  <c r="AK63" i="10" s="1"/>
  <c r="W62" i="10"/>
  <c r="AK62" i="10"/>
  <c r="W51" i="10"/>
  <c r="Y90" i="19" l="1"/>
  <c r="U47" i="15"/>
  <c r="W47" i="15" s="1"/>
  <c r="W67" i="13"/>
  <c r="W71" i="10"/>
  <c r="W68" i="10" s="1"/>
  <c r="W56" i="10"/>
  <c r="W57" i="10"/>
  <c r="W58" i="10"/>
  <c r="W50" i="10"/>
  <c r="W49" i="10" s="1"/>
  <c r="AE51" i="10"/>
  <c r="AK51" i="10" s="1"/>
  <c r="T113" i="9"/>
  <c r="W113" i="9" s="1"/>
  <c r="T122" i="9"/>
  <c r="W122" i="9"/>
  <c r="T121" i="9"/>
  <c r="W121" i="9" s="1"/>
  <c r="T125" i="9"/>
  <c r="W125" i="9" s="1"/>
  <c r="W124" i="9" s="1"/>
  <c r="T56" i="14"/>
  <c r="W56" i="14"/>
  <c r="T57" i="14"/>
  <c r="W57" i="14"/>
  <c r="T44" i="14"/>
  <c r="W44" i="14"/>
  <c r="T56" i="13"/>
  <c r="W56" i="13" s="1"/>
  <c r="T50" i="13"/>
  <c r="W50" i="13" s="1"/>
  <c r="T51" i="13"/>
  <c r="W51" i="13" s="1"/>
  <c r="T51" i="23"/>
  <c r="W51" i="23" s="1"/>
  <c r="T50" i="23"/>
  <c r="W50" i="23" s="1"/>
  <c r="T49" i="23"/>
  <c r="W49" i="23" s="1"/>
  <c r="T44" i="12"/>
  <c r="W44" i="12" s="1"/>
  <c r="AB44" i="12" s="1"/>
  <c r="AK44" i="12" s="1"/>
  <c r="W61" i="19"/>
  <c r="W63" i="19"/>
  <c r="W42" i="23"/>
  <c r="AK53" i="23"/>
  <c r="AX52" i="23"/>
  <c r="AK52" i="23"/>
  <c r="AY52" i="23" s="1"/>
  <c r="AX51" i="23"/>
  <c r="AK51" i="23"/>
  <c r="AX50" i="23"/>
  <c r="AK50" i="23"/>
  <c r="AY50" i="23" s="1"/>
  <c r="AX48" i="23"/>
  <c r="AK48" i="23"/>
  <c r="AX47" i="23"/>
  <c r="AK47" i="23"/>
  <c r="AY47" i="23" s="1"/>
  <c r="AX46" i="23"/>
  <c r="AK46" i="23"/>
  <c r="AX45" i="23"/>
  <c r="AK45" i="23"/>
  <c r="AY45" i="23" s="1"/>
  <c r="AX43" i="23"/>
  <c r="AK43" i="23"/>
  <c r="W72" i="10"/>
  <c r="T64" i="13"/>
  <c r="W64" i="13" s="1"/>
  <c r="T65" i="13"/>
  <c r="W65" i="13" s="1"/>
  <c r="T66" i="13"/>
  <c r="W66" i="13" s="1"/>
  <c r="T61" i="13"/>
  <c r="W61" i="13" s="1"/>
  <c r="AF61" i="13" s="1"/>
  <c r="AK61" i="13" s="1"/>
  <c r="T60" i="13"/>
  <c r="W60" i="13" s="1"/>
  <c r="AF60" i="13" s="1"/>
  <c r="AK60" i="13" s="1"/>
  <c r="T59" i="13"/>
  <c r="W59" i="13" s="1"/>
  <c r="AF59" i="13" s="1"/>
  <c r="AK59" i="13" s="1"/>
  <c r="AX49" i="22"/>
  <c r="AK49" i="22"/>
  <c r="T49" i="22"/>
  <c r="W49" i="22" s="1"/>
  <c r="AX48" i="22"/>
  <c r="AK48" i="22"/>
  <c r="T48" i="22"/>
  <c r="W48" i="22" s="1"/>
  <c r="AX46" i="22"/>
  <c r="AK46" i="22"/>
  <c r="T46" i="22"/>
  <c r="W46" i="22" s="1"/>
  <c r="AX45" i="22"/>
  <c r="AK45" i="22"/>
  <c r="T45" i="22"/>
  <c r="L38" i="4"/>
  <c r="L28" i="4"/>
  <c r="K22" i="3" s="1"/>
  <c r="L23" i="4"/>
  <c r="T49" i="13"/>
  <c r="W49" i="13" s="1"/>
  <c r="T52" i="18"/>
  <c r="W52" i="18" s="1"/>
  <c r="W51" i="18" s="1"/>
  <c r="W43" i="11"/>
  <c r="W42" i="11" s="1"/>
  <c r="W49" i="11"/>
  <c r="T112" i="9"/>
  <c r="W112" i="9" s="1"/>
  <c r="AK112" i="9"/>
  <c r="AX112" i="9"/>
  <c r="AK116" i="9"/>
  <c r="AX116" i="9"/>
  <c r="T119" i="9"/>
  <c r="W119" i="9" s="1"/>
  <c r="AK119" i="9"/>
  <c r="AX119" i="9"/>
  <c r="AA45" i="12"/>
  <c r="AK45" i="12" s="1"/>
  <c r="AG80" i="9"/>
  <c r="AK80" i="9" s="1"/>
  <c r="AI81" i="9"/>
  <c r="AK81" i="9" s="1"/>
  <c r="AB82" i="9"/>
  <c r="AK82" i="9" s="1"/>
  <c r="AD96" i="9"/>
  <c r="AK96" i="9" s="1"/>
  <c r="AK78" i="9"/>
  <c r="AK79" i="9"/>
  <c r="AK97" i="9"/>
  <c r="AK100" i="9"/>
  <c r="T60" i="19"/>
  <c r="W60" i="19" s="1"/>
  <c r="AK60" i="19" s="1"/>
  <c r="T95" i="9"/>
  <c r="W95" i="9" s="1"/>
  <c r="Z95" i="9" s="1"/>
  <c r="AK95" i="9" s="1"/>
  <c r="T94" i="9"/>
  <c r="W94" i="9" s="1"/>
  <c r="Z94" i="9" s="1"/>
  <c r="AK94" i="9" s="1"/>
  <c r="AK43" i="15"/>
  <c r="AK45" i="10"/>
  <c r="AK46" i="10"/>
  <c r="AK47" i="10"/>
  <c r="AK48" i="10"/>
  <c r="AK49" i="10"/>
  <c r="AK53" i="10"/>
  <c r="AK54" i="10"/>
  <c r="AK59" i="10"/>
  <c r="AK60" i="10"/>
  <c r="AK61" i="10"/>
  <c r="AK66" i="10"/>
  <c r="AK67" i="10"/>
  <c r="AK68" i="10"/>
  <c r="AK69" i="10"/>
  <c r="AK71" i="10"/>
  <c r="AK72" i="10"/>
  <c r="AK73" i="10"/>
  <c r="AK74" i="10"/>
  <c r="AK58" i="9"/>
  <c r="AK59" i="9"/>
  <c r="AK60" i="9"/>
  <c r="AK61" i="9"/>
  <c r="AK46" i="13"/>
  <c r="T61" i="9"/>
  <c r="W61" i="9" s="1"/>
  <c r="T60" i="9"/>
  <c r="W60" i="9" s="1"/>
  <c r="T59" i="9"/>
  <c r="W59" i="9" s="1"/>
  <c r="T58" i="9"/>
  <c r="W58" i="9" s="1"/>
  <c r="AD129" i="9"/>
  <c r="AK129" i="9" s="1"/>
  <c r="T100" i="9"/>
  <c r="W100" i="9" s="1"/>
  <c r="T67" i="9"/>
  <c r="W67" i="9" s="1"/>
  <c r="T66" i="9"/>
  <c r="W66" i="9" s="1"/>
  <c r="AD55" i="10"/>
  <c r="AK55" i="10" s="1"/>
  <c r="AK49" i="13"/>
  <c r="AY49" i="13" s="1"/>
  <c r="K21" i="3"/>
  <c r="T43" i="20"/>
  <c r="W43" i="20" s="1"/>
  <c r="W42" i="20" s="1"/>
  <c r="W41" i="20" s="1"/>
  <c r="AX43" i="20"/>
  <c r="AX46" i="20" s="1"/>
  <c r="AX50" i="11"/>
  <c r="AK50" i="11"/>
  <c r="T50" i="11"/>
  <c r="W50" i="11" s="1"/>
  <c r="AX49" i="11"/>
  <c r="T49" i="11"/>
  <c r="AX49" i="14"/>
  <c r="AX50" i="14"/>
  <c r="AK49" i="14"/>
  <c r="AK50" i="14"/>
  <c r="T50" i="14"/>
  <c r="W50" i="14" s="1"/>
  <c r="T49" i="14"/>
  <c r="W49" i="14" s="1"/>
  <c r="AX48" i="14"/>
  <c r="AK48" i="14"/>
  <c r="T48" i="14"/>
  <c r="W48" i="14" s="1"/>
  <c r="AX47" i="14"/>
  <c r="AK47" i="14"/>
  <c r="T47" i="14"/>
  <c r="W47" i="14" s="1"/>
  <c r="AX65" i="13"/>
  <c r="AX64" i="13"/>
  <c r="AX63" i="13"/>
  <c r="AK65" i="13"/>
  <c r="AK64" i="13"/>
  <c r="AK63" i="13"/>
  <c r="AX61" i="13"/>
  <c r="AX60" i="13"/>
  <c r="AX59" i="13"/>
  <c r="AX55" i="13"/>
  <c r="AK55" i="13"/>
  <c r="T55" i="13"/>
  <c r="W55" i="13" s="1"/>
  <c r="AX46" i="18"/>
  <c r="AK46" i="18"/>
  <c r="T46" i="18"/>
  <c r="W46" i="18" s="1"/>
  <c r="AX43" i="18"/>
  <c r="AK43" i="18"/>
  <c r="T43" i="18"/>
  <c r="AX59" i="19"/>
  <c r="T59" i="19"/>
  <c r="W59" i="19" s="1"/>
  <c r="AK59" i="19" s="1"/>
  <c r="T58" i="19"/>
  <c r="W58" i="19" s="1"/>
  <c r="AK58" i="19" s="1"/>
  <c r="AX58" i="19"/>
  <c r="AX57" i="19"/>
  <c r="T57" i="19"/>
  <c r="W57" i="19" s="1"/>
  <c r="AK57" i="19" s="1"/>
  <c r="AX56" i="19"/>
  <c r="T56" i="19"/>
  <c r="W56" i="19" s="1"/>
  <c r="AK56" i="19" s="1"/>
  <c r="AX55" i="19"/>
  <c r="T55" i="19"/>
  <c r="W55" i="19" s="1"/>
  <c r="AK55" i="19" s="1"/>
  <c r="AX43" i="19"/>
  <c r="AK43" i="19"/>
  <c r="T43" i="19"/>
  <c r="W43" i="19" s="1"/>
  <c r="AX53" i="19"/>
  <c r="AK53" i="19"/>
  <c r="T53" i="19"/>
  <c r="W53" i="19" s="1"/>
  <c r="AX48" i="19"/>
  <c r="T48" i="19"/>
  <c r="W48" i="19" s="1"/>
  <c r="AX52" i="19"/>
  <c r="AX51" i="19"/>
  <c r="AX50" i="19"/>
  <c r="AK52" i="19"/>
  <c r="AK51" i="19"/>
  <c r="AK50" i="19"/>
  <c r="T52" i="19"/>
  <c r="W52" i="19" s="1"/>
  <c r="T51" i="19"/>
  <c r="W51" i="19" s="1"/>
  <c r="T50" i="19"/>
  <c r="W50" i="19" s="1"/>
  <c r="AX47" i="19"/>
  <c r="AK47" i="19"/>
  <c r="T47" i="19"/>
  <c r="W47" i="19" s="1"/>
  <c r="AX46" i="19"/>
  <c r="AK46" i="19"/>
  <c r="T46" i="19"/>
  <c r="W46" i="19" s="1"/>
  <c r="AX45" i="19"/>
  <c r="AK45" i="19"/>
  <c r="T45" i="19"/>
  <c r="W45" i="19" s="1"/>
  <c r="AX53" i="18"/>
  <c r="AK53" i="18"/>
  <c r="T53" i="18"/>
  <c r="W53" i="18" s="1"/>
  <c r="AX52" i="18"/>
  <c r="AK52" i="18"/>
  <c r="T43" i="17"/>
  <c r="AX43" i="17"/>
  <c r="AK43" i="17"/>
  <c r="AK46" i="17" s="1"/>
  <c r="W43" i="17"/>
  <c r="W42" i="17" s="1"/>
  <c r="AX46" i="17"/>
  <c r="AX43" i="16"/>
  <c r="AK43" i="16"/>
  <c r="W43" i="16"/>
  <c r="W42" i="16" s="1"/>
  <c r="T46" i="16"/>
  <c r="W46" i="16" s="1"/>
  <c r="W45" i="16" s="1"/>
  <c r="W41" i="16" s="1"/>
  <c r="AX47" i="16"/>
  <c r="AK47" i="16"/>
  <c r="AX46" i="16"/>
  <c r="AK46" i="16"/>
  <c r="AX43" i="15"/>
  <c r="AX51" i="15" s="1"/>
  <c r="T43" i="15"/>
  <c r="W128" i="9"/>
  <c r="W127" i="9" s="1"/>
  <c r="AX129" i="9"/>
  <c r="AX44" i="7"/>
  <c r="T44" i="7"/>
  <c r="W44" i="7" s="1"/>
  <c r="AD44" i="7" s="1"/>
  <c r="AK44" i="7" s="1"/>
  <c r="AX56" i="14"/>
  <c r="AX55" i="14"/>
  <c r="AK56" i="14"/>
  <c r="AK55" i="14"/>
  <c r="T43" i="14"/>
  <c r="W43" i="14" s="1"/>
  <c r="AX43" i="14"/>
  <c r="AK43" i="14"/>
  <c r="T47" i="13"/>
  <c r="W47" i="13" s="1"/>
  <c r="T48" i="13"/>
  <c r="W48" i="13" s="1"/>
  <c r="T46" i="13"/>
  <c r="W46" i="13" s="1"/>
  <c r="AX48" i="13"/>
  <c r="AK48" i="13"/>
  <c r="AX47" i="13"/>
  <c r="AK47" i="13"/>
  <c r="AX46" i="13"/>
  <c r="AX55" i="12"/>
  <c r="AX56" i="12"/>
  <c r="T55" i="12"/>
  <c r="W55" i="12" s="1"/>
  <c r="AD55" i="12" s="1"/>
  <c r="AK55" i="12" s="1"/>
  <c r="T56" i="12"/>
  <c r="W56" i="12" s="1"/>
  <c r="AD56" i="12" s="1"/>
  <c r="AK56" i="12" s="1"/>
  <c r="T54" i="12"/>
  <c r="W54" i="12" s="1"/>
  <c r="AX54" i="12"/>
  <c r="AX44" i="12"/>
  <c r="AX43" i="12"/>
  <c r="T43" i="12"/>
  <c r="W43" i="12" s="1"/>
  <c r="T46" i="11"/>
  <c r="W46" i="11" s="1"/>
  <c r="W45" i="11" s="1"/>
  <c r="AX46" i="11"/>
  <c r="AK46" i="11"/>
  <c r="AX43" i="11"/>
  <c r="AK43" i="11"/>
  <c r="T43" i="11"/>
  <c r="AX48" i="9"/>
  <c r="AK48" i="9"/>
  <c r="AX47" i="9"/>
  <c r="AK47" i="9"/>
  <c r="AX46" i="9"/>
  <c r="AK46" i="9"/>
  <c r="W46" i="9"/>
  <c r="AX44" i="10"/>
  <c r="AC44" i="10"/>
  <c r="AK44" i="10" s="1"/>
  <c r="AX43" i="10"/>
  <c r="AF43" i="10"/>
  <c r="AK43" i="10" s="1"/>
  <c r="AX107" i="9"/>
  <c r="AK107" i="9"/>
  <c r="T107" i="9"/>
  <c r="W107" i="9" s="1"/>
  <c r="W102" i="9" s="1"/>
  <c r="AX106" i="9"/>
  <c r="AK106" i="9"/>
  <c r="T106" i="9"/>
  <c r="AX105" i="9"/>
  <c r="AK105" i="9"/>
  <c r="T105" i="9"/>
  <c r="AX104" i="9"/>
  <c r="AK104" i="9"/>
  <c r="T104" i="9"/>
  <c r="AX103" i="9"/>
  <c r="T103" i="9"/>
  <c r="AX99" i="9"/>
  <c r="AK99" i="9"/>
  <c r="T99" i="9"/>
  <c r="W99" i="9" s="1"/>
  <c r="AX93" i="9"/>
  <c r="AK93" i="9"/>
  <c r="T93" i="9"/>
  <c r="W93" i="9" s="1"/>
  <c r="AX92" i="9"/>
  <c r="AK92" i="9"/>
  <c r="T92" i="9"/>
  <c r="W92" i="9" s="1"/>
  <c r="AX91" i="9"/>
  <c r="AK91" i="9"/>
  <c r="T91" i="9"/>
  <c r="W91" i="9" s="1"/>
  <c r="AX90" i="9"/>
  <c r="AK90" i="9"/>
  <c r="T90" i="9"/>
  <c r="W90" i="9" s="1"/>
  <c r="AX89" i="9"/>
  <c r="AK89" i="9"/>
  <c r="T89" i="9"/>
  <c r="W89" i="9" s="1"/>
  <c r="AX88" i="9"/>
  <c r="AK88" i="9"/>
  <c r="T88" i="9"/>
  <c r="W88" i="9" s="1"/>
  <c r="AX87" i="9"/>
  <c r="AK87" i="9"/>
  <c r="T87" i="9"/>
  <c r="W87" i="9" s="1"/>
  <c r="AX86" i="9"/>
  <c r="AK86" i="9"/>
  <c r="T86" i="9"/>
  <c r="W86" i="9" s="1"/>
  <c r="AX85" i="9"/>
  <c r="T85" i="9"/>
  <c r="W85" i="9" s="1"/>
  <c r="AX77" i="9"/>
  <c r="AK77" i="9"/>
  <c r="T77" i="9"/>
  <c r="W77" i="9" s="1"/>
  <c r="AX76" i="9"/>
  <c r="AK76" i="9"/>
  <c r="T76" i="9"/>
  <c r="W76" i="9" s="1"/>
  <c r="AX75" i="9"/>
  <c r="AK75" i="9"/>
  <c r="T75" i="9"/>
  <c r="W75" i="9" s="1"/>
  <c r="AX74" i="9"/>
  <c r="AK74" i="9"/>
  <c r="T74" i="9"/>
  <c r="W74" i="9" s="1"/>
  <c r="AX71" i="9"/>
  <c r="AK71" i="9"/>
  <c r="T71" i="9"/>
  <c r="W71" i="9" s="1"/>
  <c r="W70" i="9" s="1"/>
  <c r="AX57" i="9"/>
  <c r="AK57" i="9"/>
  <c r="T57" i="9"/>
  <c r="W57" i="9" s="1"/>
  <c r="AX56" i="9"/>
  <c r="AK56" i="9"/>
  <c r="T56" i="9"/>
  <c r="W56" i="9" s="1"/>
  <c r="AX55" i="9"/>
  <c r="AK55" i="9"/>
  <c r="T55" i="9"/>
  <c r="W55" i="9" s="1"/>
  <c r="AX54" i="9"/>
  <c r="AK54" i="9"/>
  <c r="T54" i="9"/>
  <c r="W54" i="9" s="1"/>
  <c r="AX53" i="9"/>
  <c r="AK53" i="9"/>
  <c r="T53" i="9"/>
  <c r="W53" i="9" s="1"/>
  <c r="AX52" i="9"/>
  <c r="AK52" i="9"/>
  <c r="T52" i="9"/>
  <c r="W52" i="9" s="1"/>
  <c r="AX51" i="9"/>
  <c r="AK51" i="9"/>
  <c r="T51" i="9"/>
  <c r="W51" i="9" s="1"/>
  <c r="AX45" i="9"/>
  <c r="AK45" i="9"/>
  <c r="W45" i="9"/>
  <c r="T43" i="7"/>
  <c r="AK48" i="19" l="1"/>
  <c r="W41" i="19"/>
  <c r="W43" i="22"/>
  <c r="W41" i="22" s="1"/>
  <c r="W40" i="22" s="1"/>
  <c r="W39" i="22" s="1"/>
  <c r="W38" i="22" s="1"/>
  <c r="W37" i="22" s="1"/>
  <c r="W51" i="22" s="1"/>
  <c r="N82" i="6" s="1"/>
  <c r="W48" i="11"/>
  <c r="W42" i="14"/>
  <c r="W46" i="14"/>
  <c r="W41" i="14" s="1"/>
  <c r="AA85" i="9"/>
  <c r="AK85" i="9" s="1"/>
  <c r="AY85" i="9" s="1"/>
  <c r="W111" i="9"/>
  <c r="AB43" i="12"/>
  <c r="AK43" i="12" s="1"/>
  <c r="AK59" i="12" s="1"/>
  <c r="W42" i="12"/>
  <c r="W45" i="13"/>
  <c r="W54" i="10"/>
  <c r="W54" i="14"/>
  <c r="W53" i="14" s="1"/>
  <c r="W52" i="14" s="1"/>
  <c r="W40" i="14" s="1"/>
  <c r="AD54" i="12"/>
  <c r="AK54" i="12" s="1"/>
  <c r="W52" i="12"/>
  <c r="W51" i="12" s="1"/>
  <c r="W50" i="12" s="1"/>
  <c r="AE43" i="20"/>
  <c r="AK43" i="20" s="1"/>
  <c r="AK46" i="20" s="1"/>
  <c r="Z52" i="7"/>
  <c r="Z55" i="7" s="1"/>
  <c r="AY43" i="23"/>
  <c r="AY55" i="23" s="1"/>
  <c r="AY48" i="23"/>
  <c r="AX55" i="23"/>
  <c r="W47" i="23"/>
  <c r="W46" i="23" s="1"/>
  <c r="W45" i="23" s="1"/>
  <c r="N30" i="6" s="1"/>
  <c r="Y49" i="11"/>
  <c r="AK49" i="11" s="1"/>
  <c r="AK53" i="11" s="1"/>
  <c r="W41" i="11"/>
  <c r="AE50" i="10"/>
  <c r="AK50" i="10" s="1"/>
  <c r="AB70" i="10"/>
  <c r="AK70" i="10" s="1"/>
  <c r="AY56" i="12"/>
  <c r="AY56" i="14"/>
  <c r="AY51" i="23"/>
  <c r="AY46" i="23"/>
  <c r="W41" i="12"/>
  <c r="W40" i="12" s="1"/>
  <c r="W41" i="23"/>
  <c r="W40" i="23" s="1"/>
  <c r="W39" i="23" s="1"/>
  <c r="W38" i="23" s="1"/>
  <c r="W37" i="23" s="1"/>
  <c r="W55" i="23" s="1"/>
  <c r="AK55" i="23"/>
  <c r="W45" i="18"/>
  <c r="W50" i="18"/>
  <c r="W49" i="18" s="1"/>
  <c r="W48" i="18" s="1"/>
  <c r="W43" i="18"/>
  <c r="W42" i="18" s="1"/>
  <c r="W43" i="15"/>
  <c r="W42" i="10"/>
  <c r="W39" i="10" s="1"/>
  <c r="AY49" i="22"/>
  <c r="AY48" i="22"/>
  <c r="AX51" i="22"/>
  <c r="AY45" i="22"/>
  <c r="AY46" i="22"/>
  <c r="AY112" i="9"/>
  <c r="AY119" i="9"/>
  <c r="AY116" i="9"/>
  <c r="AK69" i="13"/>
  <c r="Y103" i="9"/>
  <c r="AK103" i="9" s="1"/>
  <c r="AY103" i="9" s="1"/>
  <c r="AG66" i="9"/>
  <c r="AK66" i="9" s="1"/>
  <c r="AG67" i="9"/>
  <c r="AK67" i="9" s="1"/>
  <c r="AY49" i="14"/>
  <c r="AY46" i="18"/>
  <c r="AY50" i="11"/>
  <c r="AY53" i="18"/>
  <c r="AY44" i="12"/>
  <c r="AY44" i="7"/>
  <c r="AY50" i="14"/>
  <c r="AY43" i="18"/>
  <c r="AY43" i="10"/>
  <c r="AY60" i="13"/>
  <c r="AY63" i="13"/>
  <c r="W40" i="20"/>
  <c r="W39" i="20" s="1"/>
  <c r="N54" i="6" s="1"/>
  <c r="AY48" i="14"/>
  <c r="AY47" i="14"/>
  <c r="AY64" i="13"/>
  <c r="AY65" i="13"/>
  <c r="AY59" i="13"/>
  <c r="AY55" i="13"/>
  <c r="AY61" i="13"/>
  <c r="AY48" i="13"/>
  <c r="AY47" i="13"/>
  <c r="AY57" i="19"/>
  <c r="AY58" i="19"/>
  <c r="AY59" i="19"/>
  <c r="AY53" i="19"/>
  <c r="AY52" i="18"/>
  <c r="AY56" i="19"/>
  <c r="AY55" i="19"/>
  <c r="AY43" i="19"/>
  <c r="AY50" i="19"/>
  <c r="AY51" i="19"/>
  <c r="AY48" i="19"/>
  <c r="AY52" i="19"/>
  <c r="AX64" i="19"/>
  <c r="AY46" i="19"/>
  <c r="AY47" i="19"/>
  <c r="AY45" i="19"/>
  <c r="AK55" i="18"/>
  <c r="AX55" i="18"/>
  <c r="W41" i="17"/>
  <c r="W40" i="17" s="1"/>
  <c r="AY43" i="17"/>
  <c r="AY46" i="17" s="1"/>
  <c r="AX53" i="11"/>
  <c r="AY46" i="11"/>
  <c r="AY43" i="16"/>
  <c r="AX49" i="16"/>
  <c r="AY47" i="16"/>
  <c r="AK49" i="16"/>
  <c r="AY46" i="16"/>
  <c r="AY43" i="15"/>
  <c r="AY51" i="15" s="1"/>
  <c r="AK51" i="15"/>
  <c r="AY44" i="10"/>
  <c r="AY48" i="9"/>
  <c r="AY129" i="9"/>
  <c r="AY47" i="9"/>
  <c r="AY46" i="9"/>
  <c r="AY105" i="9"/>
  <c r="AY107" i="9"/>
  <c r="AY55" i="14"/>
  <c r="AX59" i="14"/>
  <c r="AY43" i="14"/>
  <c r="AK59" i="14"/>
  <c r="AX69" i="13"/>
  <c r="AY46" i="13"/>
  <c r="AY54" i="12"/>
  <c r="AY55" i="12"/>
  <c r="AX59" i="12"/>
  <c r="AY43" i="11"/>
  <c r="AY89" i="9"/>
  <c r="AX75" i="10"/>
  <c r="AY71" i="9"/>
  <c r="AY74" i="9"/>
  <c r="AY90" i="9"/>
  <c r="AY99" i="9"/>
  <c r="AY104" i="9"/>
  <c r="AY55" i="9"/>
  <c r="AY106" i="9"/>
  <c r="AY57" i="9"/>
  <c r="AY88" i="9"/>
  <c r="AY93" i="9"/>
  <c r="AY56" i="9"/>
  <c r="AY87" i="9"/>
  <c r="AY92" i="9"/>
  <c r="AY75" i="9"/>
  <c r="AY76" i="9"/>
  <c r="AY86" i="9"/>
  <c r="AY91" i="9"/>
  <c r="AY53" i="9"/>
  <c r="AY45" i="9"/>
  <c r="AY77" i="9"/>
  <c r="AY52" i="9"/>
  <c r="AY54" i="9"/>
  <c r="AY51" i="9"/>
  <c r="AX132" i="9"/>
  <c r="W42" i="15" l="1"/>
  <c r="W41" i="15" s="1"/>
  <c r="W40" i="15" s="1"/>
  <c r="W39" i="15" s="1"/>
  <c r="N65" i="6" s="1"/>
  <c r="AY49" i="11"/>
  <c r="W39" i="12"/>
  <c r="W44" i="13"/>
  <c r="AY43" i="12"/>
  <c r="AY43" i="20"/>
  <c r="AY46" i="20" s="1"/>
  <c r="W43" i="9"/>
  <c r="W42" i="9" s="1"/>
  <c r="N29" i="6"/>
  <c r="N28" i="6" s="1"/>
  <c r="W41" i="18"/>
  <c r="W40" i="18" s="1"/>
  <c r="W39" i="18" s="1"/>
  <c r="W38" i="18" s="1"/>
  <c r="AK75" i="10"/>
  <c r="N60" i="6"/>
  <c r="N24" i="6"/>
  <c r="AK64" i="19"/>
  <c r="AY51" i="22"/>
  <c r="AK51" i="22"/>
  <c r="W40" i="19"/>
  <c r="W39" i="19" s="1"/>
  <c r="W39" i="14"/>
  <c r="AK132" i="9"/>
  <c r="W39" i="17"/>
  <c r="N38" i="6" s="1"/>
  <c r="AY53" i="11"/>
  <c r="N77" i="6"/>
  <c r="AY55" i="18"/>
  <c r="W38" i="20"/>
  <c r="W37" i="20" s="1"/>
  <c r="W46" i="20" s="1"/>
  <c r="AY59" i="14"/>
  <c r="AY64" i="19"/>
  <c r="W40" i="16"/>
  <c r="AY49" i="16"/>
  <c r="AY69" i="13"/>
  <c r="AY59" i="12"/>
  <c r="W40" i="11"/>
  <c r="W39" i="11" s="1"/>
  <c r="AY132" i="9"/>
  <c r="AY75" i="10"/>
  <c r="W41" i="9" l="1"/>
  <c r="W40" i="9" s="1"/>
  <c r="W39" i="9" s="1"/>
  <c r="W132" i="9" s="1"/>
  <c r="N23" i="6"/>
  <c r="L24" i="5"/>
  <c r="N76" i="6"/>
  <c r="N75" i="6" s="1"/>
  <c r="W37" i="18"/>
  <c r="W55" i="18" s="1"/>
  <c r="W38" i="17"/>
  <c r="W37" i="17" s="1"/>
  <c r="W46" i="17" s="1"/>
  <c r="W38" i="19"/>
  <c r="W37" i="19" s="1"/>
  <c r="W64" i="19" s="1"/>
  <c r="N46" i="6"/>
  <c r="W38" i="14"/>
  <c r="W37" i="14" s="1"/>
  <c r="W59" i="14" s="1"/>
  <c r="W38" i="15"/>
  <c r="W37" i="15" s="1"/>
  <c r="W51" i="15" s="1"/>
  <c r="W38" i="11"/>
  <c r="W37" i="11" s="1"/>
  <c r="W53" i="11" s="1"/>
  <c r="N73" i="6"/>
  <c r="W38" i="12"/>
  <c r="W37" i="12" s="1"/>
  <c r="W59" i="12" s="1"/>
  <c r="N35" i="6" s="1"/>
  <c r="N34" i="6" s="1"/>
  <c r="N33" i="6" s="1"/>
  <c r="W39" i="16"/>
  <c r="K25" i="3"/>
  <c r="L29" i="5" l="1"/>
  <c r="N57" i="6"/>
  <c r="N56" i="6" s="1"/>
  <c r="N55" i="6" s="1"/>
  <c r="K29" i="3"/>
  <c r="W38" i="16"/>
  <c r="W37" i="16" s="1"/>
  <c r="W49" i="16" s="1"/>
  <c r="N70" i="6"/>
  <c r="W38" i="10"/>
  <c r="W37" i="10" s="1"/>
  <c r="W75" i="10" s="1"/>
  <c r="K32" i="3"/>
  <c r="AX43" i="7"/>
  <c r="AX47" i="7" s="1"/>
  <c r="W43" i="7"/>
  <c r="W42" i="7" s="1"/>
  <c r="N81" i="6"/>
  <c r="N80" i="6" s="1"/>
  <c r="N74" i="6"/>
  <c r="L48" i="5" s="1"/>
  <c r="N72" i="6"/>
  <c r="N71" i="6" s="1"/>
  <c r="L47" i="5" s="1"/>
  <c r="N64" i="6"/>
  <c r="N63" i="6" s="1"/>
  <c r="N53" i="6"/>
  <c r="N52" i="6" s="1"/>
  <c r="N45" i="6"/>
  <c r="N44" i="6" s="1"/>
  <c r="N37" i="6"/>
  <c r="N36" i="6" s="1"/>
  <c r="L30" i="5" s="1"/>
  <c r="L35" i="4"/>
  <c r="K24" i="3" s="1"/>
  <c r="L32" i="4"/>
  <c r="K20" i="3"/>
  <c r="K23" i="3" l="1"/>
  <c r="K19" i="3" s="1"/>
  <c r="L22" i="4"/>
  <c r="L39" i="5"/>
  <c r="L51" i="5"/>
  <c r="L50" i="5" s="1"/>
  <c r="N79" i="6"/>
  <c r="L34" i="5"/>
  <c r="L33" i="5" s="1"/>
  <c r="N43" i="6"/>
  <c r="L38" i="5"/>
  <c r="Y43" i="7"/>
  <c r="AK43" i="7" s="1"/>
  <c r="AY43" i="7" s="1"/>
  <c r="AY47" i="7" s="1"/>
  <c r="W41" i="7"/>
  <c r="W40" i="7" s="1"/>
  <c r="W39" i="7" s="1"/>
  <c r="N51" i="6" s="1"/>
  <c r="N62" i="6"/>
  <c r="L43" i="5"/>
  <c r="L42" i="5" s="1"/>
  <c r="N69" i="6"/>
  <c r="N68" i="6" s="1"/>
  <c r="N59" i="6"/>
  <c r="N58" i="6" s="1"/>
  <c r="L42" i="4"/>
  <c r="AK47" i="7" l="1"/>
  <c r="L46" i="5"/>
  <c r="L45" i="5" s="1"/>
  <c r="K33" i="3"/>
  <c r="K31" i="3" s="1"/>
  <c r="N50" i="6"/>
  <c r="W38" i="7"/>
  <c r="W37" i="7" s="1"/>
  <c r="W47" i="7" s="1"/>
  <c r="N49" i="6" l="1"/>
  <c r="N48" i="6" s="1"/>
  <c r="L40" i="5"/>
  <c r="W43" i="13"/>
  <c r="W41" i="13" s="1"/>
  <c r="N41" i="6" s="1"/>
  <c r="L37" i="5" l="1"/>
  <c r="L36" i="5" s="1"/>
  <c r="W40" i="13"/>
  <c r="W39" i="13" s="1"/>
  <c r="W69" i="13" s="1"/>
  <c r="Y84" i="19" s="1"/>
  <c r="Y95" i="19" s="1"/>
  <c r="N40" i="6" l="1"/>
  <c r="N39" i="6" s="1"/>
  <c r="N32" i="6" s="1"/>
  <c r="N22" i="6" s="1"/>
  <c r="K30" i="3"/>
  <c r="K28" i="3" s="1"/>
  <c r="K27" i="3" s="1"/>
  <c r="K36" i="3" s="1"/>
  <c r="N84" i="6" l="1"/>
  <c r="L31" i="5"/>
  <c r="L28" i="5" s="1"/>
  <c r="L53" i="5" l="1"/>
  <c r="L22" i="5"/>
</calcChain>
</file>

<file path=xl/sharedStrings.xml><?xml version="1.0" encoding="utf-8"?>
<sst xmlns="http://schemas.openxmlformats.org/spreadsheetml/2006/main" count="4081" uniqueCount="903">
  <si>
    <t>DINAS PENDIDIKAN PEMUDA DAN OLAHRAGA</t>
  </si>
  <si>
    <t>KOTA YOGYAKARTA</t>
  </si>
  <si>
    <t>ANGGARAN PENDAPATAN DAN BELANJA SEKOLAH</t>
  </si>
  <si>
    <t>SD NEGERI RANDUSARI</t>
  </si>
  <si>
    <t>Pengguna Anggaran :</t>
  </si>
  <si>
    <t>a. Nama</t>
  </si>
  <si>
    <t>: JUMADI, S.Pd.SD</t>
  </si>
  <si>
    <t>b. NIP</t>
  </si>
  <si>
    <t>: 19710727 199103 1 003</t>
  </si>
  <si>
    <t>c. Jabatan</t>
  </si>
  <si>
    <t>: Kepala Sekolah</t>
  </si>
  <si>
    <t>KODE</t>
  </si>
  <si>
    <t>NAMA FORMULIR</t>
  </si>
  <si>
    <t>DPK-SP</t>
  </si>
  <si>
    <t>Ringkasan Anggaran Pendapatan dan Belanja Sekolah</t>
  </si>
  <si>
    <t>DPK-SP 1</t>
  </si>
  <si>
    <t>Rincian Anggaran Pendapatan</t>
  </si>
  <si>
    <t>DPK-SP 5</t>
  </si>
  <si>
    <t xml:space="preserve">Rekap Anggaran Belanja </t>
  </si>
  <si>
    <t>DPK-SP 5.1</t>
  </si>
  <si>
    <t>Rincian Anggaran Belanja</t>
  </si>
  <si>
    <t>DPK-SP 5.1.1</t>
  </si>
  <si>
    <t>Rincian Dokumen Pelaksanaan Kegiatan Belanja Program dan Per Kegiatan Satuan Pendidikan</t>
  </si>
  <si>
    <t>TAHUN ANGGARAN 2024</t>
  </si>
  <si>
    <t>LEMBAR PERSETUJUAN</t>
  </si>
  <si>
    <t>Ketua Komite</t>
  </si>
  <si>
    <t>Kepala Sekolah</t>
  </si>
  <si>
    <t>Jumianto</t>
  </si>
  <si>
    <t>Jumadi, S.Pd.SD</t>
  </si>
  <si>
    <t>NIP 19710727 199103 1 003</t>
  </si>
  <si>
    <t>Menyetujui</t>
  </si>
  <si>
    <t>Kepala Dinas Pendidikan Pemuda &amp; Olahraga Kota Yogyakarta</t>
  </si>
  <si>
    <t>Budi Santosa Asrori, SE., M.Si</t>
  </si>
  <si>
    <t>NIP. 19700915 199403 1 009</t>
  </si>
  <si>
    <t>No</t>
  </si>
  <si>
    <t>Nama</t>
  </si>
  <si>
    <t>Jabatan</t>
  </si>
  <si>
    <t>Paraf</t>
  </si>
  <si>
    <t>Pengawas</t>
  </si>
  <si>
    <t>Verifikator</t>
  </si>
  <si>
    <t>Dra Tyasning Handayani Shanti</t>
  </si>
  <si>
    <t>Sekretaris Dinas</t>
  </si>
  <si>
    <t>FORMULIR DPK-SP</t>
  </si>
  <si>
    <t>Urusan</t>
  </si>
  <si>
    <t>: Pendidikan</t>
  </si>
  <si>
    <t>Satuan Pendidikan</t>
  </si>
  <si>
    <t>: SD Negeri Randusari</t>
  </si>
  <si>
    <t>Kode</t>
  </si>
  <si>
    <t>Uraian</t>
  </si>
  <si>
    <t>Anggaran</t>
  </si>
  <si>
    <t>1</t>
  </si>
  <si>
    <t>PENDAPATAN</t>
  </si>
  <si>
    <t>APBN</t>
  </si>
  <si>
    <t>2</t>
  </si>
  <si>
    <t>APBD DIY</t>
  </si>
  <si>
    <t>3</t>
  </si>
  <si>
    <t>APBD Kota Yogyakarta</t>
  </si>
  <si>
    <t>4</t>
  </si>
  <si>
    <t>Pendapatan dari Masyarakat</t>
  </si>
  <si>
    <t>5</t>
  </si>
  <si>
    <t>Lain-lain</t>
  </si>
  <si>
    <t>6</t>
  </si>
  <si>
    <t>Sisa Lebih Perhitungan Anggaran Tahun Lalu</t>
  </si>
  <si>
    <t>BELANJA</t>
  </si>
  <si>
    <t>Belanja Operasi</t>
  </si>
  <si>
    <t>01</t>
  </si>
  <si>
    <t xml:space="preserve">Belanja Pegawai </t>
  </si>
  <si>
    <t>02</t>
  </si>
  <si>
    <t>Belanja Barang dan Jasa</t>
  </si>
  <si>
    <t>Belanja Modal</t>
  </si>
  <si>
    <t>Belanja Modal Peralatan dan Mesin</t>
  </si>
  <si>
    <t>05</t>
  </si>
  <si>
    <t>Belanja Modal Aset Tetap Lainnya</t>
  </si>
  <si>
    <t>SURPLUS/DEFISIT</t>
  </si>
  <si>
    <t>Mengetahui</t>
  </si>
  <si>
    <t>Ketua Komite Sekolah</t>
  </si>
  <si>
    <t>NIP. 19710727 199103 1 003</t>
  </si>
  <si>
    <t xml:space="preserve"> FORMULIR DPK-SP 1</t>
  </si>
  <si>
    <t xml:space="preserve">DINAS PENDIDIKAN PEMUDA DAN OLAHRAGA </t>
  </si>
  <si>
    <t>Rincian</t>
  </si>
  <si>
    <t>Volume</t>
  </si>
  <si>
    <t>Satuan</t>
  </si>
  <si>
    <t>Harga Satuan</t>
  </si>
  <si>
    <t>Gaji dan Tunjangan</t>
  </si>
  <si>
    <t>Sumbangan Sukarela</t>
  </si>
  <si>
    <t>Pendapatan Sewa</t>
  </si>
  <si>
    <t>Sisa lebih perhitungan anggaran tahun lalu</t>
  </si>
  <si>
    <t>Jumlah</t>
  </si>
  <si>
    <t xml:space="preserve"> FORMULIR DPK-SP 5</t>
  </si>
  <si>
    <t>Belanja</t>
  </si>
  <si>
    <t>Program Pengembangan Kompetensi Lulusan</t>
  </si>
  <si>
    <t>Kegiatan Pembiayaan Kegiatan Pembelajaran dan Ekstrakurikuler</t>
  </si>
  <si>
    <t>Program Pengembangan Standar Isi</t>
  </si>
  <si>
    <t>Program Pengembangan Standar Proses</t>
  </si>
  <si>
    <t>Kegiatan Pembiayaan Penerimaan Peserta Didik Baru</t>
  </si>
  <si>
    <t>Kegiatan Pembiayaan Pengembangan Perpustakaan</t>
  </si>
  <si>
    <t>Kegiatan Pembiayaan Administrasi Kegiatan Sekolah</t>
  </si>
  <si>
    <t>Program Pengembangan Pendidik dan Tenaga Kependidikan</t>
  </si>
  <si>
    <t>Kegiatan Pembiayaan Pengembangan Profesi Guru dan Tenaga Kependidikan</t>
  </si>
  <si>
    <t>Program Pengembangan Sarana dan Prasarana Sekolah</t>
  </si>
  <si>
    <t>Kegiatan Pembiayaan Pemeliharaan Sarana dan Prasarana</t>
  </si>
  <si>
    <t>7</t>
  </si>
  <si>
    <t>Kegiatan Penyediaan Alat Multimedia Pembelajaran</t>
  </si>
  <si>
    <t>Program Pengembangan Standar Pengelolaan</t>
  </si>
  <si>
    <t>Program Pengembangan Pembiayaan</t>
  </si>
  <si>
    <t>Kegiatan Pembiayaan Langganan Daya dan/atau Jasa</t>
  </si>
  <si>
    <t>Kegiatan Pembiayaan untuk Pembayaran Honor</t>
  </si>
  <si>
    <t>8</t>
  </si>
  <si>
    <t>Program Pengembangan dan Implementasi Sistem Penilaian</t>
  </si>
  <si>
    <t>Kegiatan Pembiayaan Asesmen/Evaluasi Pembelajaran dan Ekstrakurikuler</t>
  </si>
  <si>
    <t xml:space="preserve"> FORMULIR DPK-SP 5.1</t>
  </si>
  <si>
    <t xml:space="preserve">Belanja </t>
  </si>
  <si>
    <t>Belanja Pegawai</t>
  </si>
  <si>
    <t xml:space="preserve">: </t>
  </si>
  <si>
    <t>SD Negeri Randusari</t>
  </si>
  <si>
    <t>Program</t>
  </si>
  <si>
    <t>Kegiatan</t>
  </si>
  <si>
    <t>Waktu Pelaksanaan</t>
  </si>
  <si>
    <t>Lokasi Kegiatan</t>
  </si>
  <si>
    <t>:</t>
  </si>
  <si>
    <t>Sumber Dana</t>
  </si>
  <si>
    <t>Indikator &amp; Tolok Ukur Belanja</t>
  </si>
  <si>
    <t>Indikator</t>
  </si>
  <si>
    <t>Tolok Ukur Kinerja</t>
  </si>
  <si>
    <t>Target Kinerja</t>
  </si>
  <si>
    <t>Capaian Program</t>
  </si>
  <si>
    <t>Masukan</t>
  </si>
  <si>
    <t>Dana</t>
  </si>
  <si>
    <t>SDM</t>
  </si>
  <si>
    <t>Sarana Prasarana</t>
  </si>
  <si>
    <t>Metode Kerja</t>
  </si>
  <si>
    <t>Keluaran</t>
  </si>
  <si>
    <t>Hasil</t>
  </si>
  <si>
    <t>Kelompok Sasaran Kegiatan</t>
  </si>
  <si>
    <t>Rincian  Dokumen Pelaksanaan Kegiatan Belanja</t>
  </si>
  <si>
    <t>Menurut Program dan Per Kegiatan Satuan Pendidikan</t>
  </si>
  <si>
    <t>KODE REKENING</t>
  </si>
  <si>
    <t>U R A I A N</t>
  </si>
  <si>
    <t>RINCIAN PERHITUNGAN</t>
  </si>
  <si>
    <t>JUMLAH</t>
  </si>
  <si>
    <t>Ket</t>
  </si>
  <si>
    <t>SISA</t>
  </si>
  <si>
    <t>(Rp)</t>
  </si>
  <si>
    <t>9</t>
  </si>
  <si>
    <t>10</t>
  </si>
  <si>
    <t>11</t>
  </si>
  <si>
    <t>12</t>
  </si>
  <si>
    <t>7 = (4x6)</t>
  </si>
  <si>
    <t xml:space="preserve">BELANJA </t>
  </si>
  <si>
    <t>BELANJA OPERASI</t>
  </si>
  <si>
    <t>BELANJA BARANG DAN JASA</t>
  </si>
  <si>
    <t>Belanja Barang</t>
  </si>
  <si>
    <t>Belanja Barang Pakai Habis</t>
  </si>
  <si>
    <t>Belanja Jasa</t>
  </si>
  <si>
    <t>Belanja Jasa Kantor</t>
  </si>
  <si>
    <t>bln</t>
  </si>
  <si>
    <t>0029</t>
  </si>
  <si>
    <t xml:space="preserve">JUMLAH </t>
  </si>
  <si>
    <t>Rencana Penarikan Dana per Tahap</t>
  </si>
  <si>
    <t>Tahap 1</t>
  </si>
  <si>
    <t>Rp</t>
  </si>
  <si>
    <t>`</t>
  </si>
  <si>
    <t>Tahap 2</t>
  </si>
  <si>
    <t>Tahap 3</t>
  </si>
  <si>
    <t>PROGRAM DAN KEGIATAN APBS</t>
  </si>
  <si>
    <t>Target</t>
  </si>
  <si>
    <t>5.1.1</t>
  </si>
  <si>
    <t>Pengembangan Kompetensi Lulusan</t>
  </si>
  <si>
    <t>Pembiaayaan Kegiatan Pembelajaran dan Ekstrakurikuler</t>
  </si>
  <si>
    <t>Pelaksanaan Uji Coba US/USB Tk. Kecamatan</t>
  </si>
  <si>
    <t>…siswa</t>
  </si>
  <si>
    <t>Pelaksanaan Uji Coba US/USB Tk. Kabupaten/Kota</t>
  </si>
  <si>
    <t>Pemantapan persiapan ujian/Tryout</t>
  </si>
  <si>
    <t>Pengayaan TIK untuk memfasilitasi kegiatan pembelajaran</t>
  </si>
  <si>
    <t>Pengembangan diri : TIK sebagai wahana kreativitas dari inovasi</t>
  </si>
  <si>
    <t>Pengembangan diri : TIK untuk meningkatkan integritas kebangsaan</t>
  </si>
  <si>
    <t>Pengembangan diri : pemanfaatan perpustakaan sekolah</t>
  </si>
  <si>
    <t>Pengembangan diri : melaksanakan perilaku hidup bersih dan sehat/Pendidikan dan pengembangan sekolah sehat, aman, ramah anak, dan menyenangkan</t>
  </si>
  <si>
    <t>Penyelenggaraan : pencegahan penyalahgunaan narkotika, psikotropika, zat adiktif (narkoba), minuman keras, merokok, dan HIV AIDS</t>
  </si>
  <si>
    <t>Pengembangan diri : Meningkatkan kesehatan reproduksi remaja</t>
  </si>
  <si>
    <t>Penyelenggaraan : Melaksanakan kegiatan orientasi siswa baru yang bersifat akademik dan pengenalan lingkungan tanpa kekerasan</t>
  </si>
  <si>
    <t>Penyelenggaraan : Melaksanakan penghijauan dan perindangan lingkungan sekolah</t>
  </si>
  <si>
    <t>Penyelenggaraan : Melaksanakan kegiatan 7 K</t>
  </si>
  <si>
    <t>Pengembangan pendidikan karakter/penumbuhan budi pekerti, dan kegiatan program pelibatan keluarga di sekolah</t>
  </si>
  <si>
    <t>Pelaksanaan Ujian Sekolah/USBK</t>
  </si>
  <si>
    <t>Pelaksanaan Ujian Nasional</t>
  </si>
  <si>
    <t>pelaksanaan Ulangan Harian</t>
  </si>
  <si>
    <t>Pelaksanaan Ulangan Tengah Semester</t>
  </si>
  <si>
    <t>pelaksanaan Ulangan Akhir Semester</t>
  </si>
  <si>
    <t>Pelaksanaan Ulangan Kenaikan Kelas</t>
  </si>
  <si>
    <t>Pelaksanaan Test Kemampuan Dasar (TKD)</t>
  </si>
  <si>
    <t>Penyelenggaraan pembelajaran aktif kreatid efektif dan nyaman</t>
  </si>
  <si>
    <t>5.2.1</t>
  </si>
  <si>
    <t>Pengembangan Standar Isi</t>
  </si>
  <si>
    <t>Pembiayaan Pengembangan Perpustakaan</t>
  </si>
  <si>
    <t>Penyusunan Program Perpustakaan</t>
  </si>
  <si>
    <t>…program</t>
  </si>
  <si>
    <t>5.2.2</t>
  </si>
  <si>
    <t>Penyusunan Pembagian Tugas Guru dan Jadwal Pelajaran</t>
  </si>
  <si>
    <t>…dokumen</t>
  </si>
  <si>
    <t>Penyusunan program Tahunan</t>
  </si>
  <si>
    <t>Penyusunan program Semester</t>
  </si>
  <si>
    <t>Penyusunan Silabus</t>
  </si>
  <si>
    <t>Penyusunan RPP</t>
  </si>
  <si>
    <t>Penyusunan Program BP/BK</t>
  </si>
  <si>
    <t>Penyusunan Program Pengelolaan Laboratorium IPA</t>
  </si>
  <si>
    <t>Penyusanan Program pengelolaan Laboratorium Bahasa</t>
  </si>
  <si>
    <t>Penyusunan Program pengelolaan Laboratorium Komputer</t>
  </si>
  <si>
    <t>penyusunan program pengelolaan Bengkel/Keterampilan</t>
  </si>
  <si>
    <t>Penyusunan program Ekstrakurikuler</t>
  </si>
  <si>
    <t>Penyusunan Kurikulum</t>
  </si>
  <si>
    <t>5.2.3</t>
  </si>
  <si>
    <t>Pembiayaan Pengembangan Profesi Guru dan Tenaga Kependidikan</t>
  </si>
  <si>
    <t>Workshop validasi RPP semua mapel dalam MGMPS/MGMPK</t>
  </si>
  <si>
    <t>…kali</t>
  </si>
  <si>
    <t>Workshop peningkatan kompetensi semua guru mapel tentang analisis input peserta didik dalam penentuan KKM</t>
  </si>
  <si>
    <t>Workshop peningkatan kompetensi semua guru mapel tentang tingkat kesulitan mata pelajaran dalam penentuan KKM</t>
  </si>
  <si>
    <t>5.3.1</t>
  </si>
  <si>
    <t>Pengembangan Standar Proses</t>
  </si>
  <si>
    <t>Pembiayaan Penerimaan Peserta Didik Baru</t>
  </si>
  <si>
    <t>Penyusunan Program Kesiswaan</t>
  </si>
  <si>
    <t>Pelaksanaan Pendaftaran Peserta Didik Baru (PPDB)</t>
  </si>
  <si>
    <t>Test IQ</t>
  </si>
  <si>
    <t>5.3.2</t>
  </si>
  <si>
    <t>Pembiayaan Pengembangan perpustakaan</t>
  </si>
  <si>
    <t>pengelolaan Majalah Dinding</t>
  </si>
  <si>
    <t>…bulan</t>
  </si>
  <si>
    <t>Pembayaran langganan koran dan majalah</t>
  </si>
  <si>
    <t>Pengadaan buku perpustakaan/bacaan</t>
  </si>
  <si>
    <t>…paket</t>
  </si>
  <si>
    <t>Pengadaan Majalah sekolah/publikasi berkala</t>
  </si>
  <si>
    <t>…buah</t>
  </si>
  <si>
    <t>Pemberdayaan perpustakaan</t>
  </si>
  <si>
    <t>…orang</t>
  </si>
  <si>
    <t>Pengadaan buku LKS</t>
  </si>
  <si>
    <t>5.3.3</t>
  </si>
  <si>
    <t>Pembiayaan Kegiatan Pembelajaran dan Ekstrakurikuler</t>
  </si>
  <si>
    <t>Aero Modelling</t>
  </si>
  <si>
    <t>Penyelenggaraan Perbaikan / Pengayaan (Remedial)</t>
  </si>
  <si>
    <t>Pelaksanaan Studi Wisata</t>
  </si>
  <si>
    <t>Konsultasi peningkatan mutu pendidikan (Konsultan &amp; Psikolog)</t>
  </si>
  <si>
    <t>Pelaksanaan Lomba Mata Pelajaran</t>
  </si>
  <si>
    <t>…kejuaraan</t>
  </si>
  <si>
    <t>Pelaksanaan Lomba OSN</t>
  </si>
  <si>
    <t>Pelaksanaan Lomba O2SN</t>
  </si>
  <si>
    <t>Pelaksanaan Lomba MIPA</t>
  </si>
  <si>
    <t>Pelaksanaan Loketa</t>
  </si>
  <si>
    <t>Penyelenggaraan PORSENI</t>
  </si>
  <si>
    <t>Penyelenggaraan Pentas Seni</t>
  </si>
  <si>
    <t>Penyelenggaraan Koperasi Sekolah</t>
  </si>
  <si>
    <t>Pertukaran Pelajar</t>
  </si>
  <si>
    <t>Pelaksanaan Ekstrakurikuler Kepramukaan</t>
  </si>
  <si>
    <t>Pelaksanaan Ekstrakurikuler Seni dan Budaya</t>
  </si>
  <si>
    <t>Pelaksanaan Ekstrakurikuler Olahraga</t>
  </si>
  <si>
    <t>Pelaksanaan Ekstrakurikuler Paskibra</t>
  </si>
  <si>
    <t>Pelaksanaan Ekstrakurikuler PMR Pemula</t>
  </si>
  <si>
    <t>Pelaksanaan Ekstrakurikuler English Club</t>
  </si>
  <si>
    <t>Pelaksanaan Ekstrakurikuler UKS/KKR</t>
  </si>
  <si>
    <t>Pelaksanaan Ekstrakurikuler Patroli Keamanan Sekolah (PKS)</t>
  </si>
  <si>
    <t>Pelaksanaan Ekstrakurikuler Drum Band</t>
  </si>
  <si>
    <t>Pelaksanaan Ekstrakurikuler Komputer</t>
  </si>
  <si>
    <t>Penyelenggaraan Pesantren Kilat</t>
  </si>
  <si>
    <t>Peringatan Hari Besar Agama dan Nasional</t>
  </si>
  <si>
    <t>Pelaksanaan Lomba FLSSN</t>
  </si>
  <si>
    <t>Seleksi Peserta Didik Program Kelas Akselerasi</t>
  </si>
  <si>
    <t>Seleksi Siswa Program Bilingual</t>
  </si>
  <si>
    <t>Pelaksanaan Ekstrakurikuler Karya Ilmiah Remaja</t>
  </si>
  <si>
    <t>Pelaksanaan Ekstrakurikuler Latihan Kepemimpinan Siswa (LKS)</t>
  </si>
  <si>
    <t>Pelaksanaan Ekstrakurikuler jurnalistik, teater, teknologi informasi dan komunikasi</t>
  </si>
  <si>
    <t>Pelaksanaan Ekstrakurikuler Keagamaan</t>
  </si>
  <si>
    <t>Pengadaan Native Speaker</t>
  </si>
  <si>
    <t>Pengadaan Media Pembelajaran</t>
  </si>
  <si>
    <t>Pemberdayaan Multimedia</t>
  </si>
  <si>
    <t>Pemberdayaan Tanaman Obat Keluarga</t>
  </si>
  <si>
    <t>5.3.4</t>
  </si>
  <si>
    <t>Pelaksanaan Evaluasi kegiatan Ekstrakurikuler</t>
  </si>
  <si>
    <t>5.3.5</t>
  </si>
  <si>
    <t>Pembiayaan Administrasi Kegiatan Sekolah</t>
  </si>
  <si>
    <t>Pendataan Dapodik</t>
  </si>
  <si>
    <t>Usaha Kesehatan Sekolah (UKS), Peralatan dan/atau obat-obatan</t>
  </si>
  <si>
    <t>Pengadaan Sarana Penunjang Kegiatan Belajar Mengajar (Pembelian buku tulis, kapur tulis, pensil, spidol, kertas, buku induk peserta didik, buku inventaris)</t>
  </si>
  <si>
    <t>Pengadaan Alat Pembelajaran (Seluruh mata Pelajaran termasuk OR)</t>
  </si>
  <si>
    <t>Pengadaan Bahan/Alat laboratorium</t>
  </si>
  <si>
    <t>Pengadaan Bahan Praktik Bahasa</t>
  </si>
  <si>
    <t>Pengadaan Bahan Praktik Komputer</t>
  </si>
  <si>
    <t>Pengadaan Bahan Praktik Pendidikan teknologi dasar</t>
  </si>
  <si>
    <t>Pengadaan Bahan Praktik Internet</t>
  </si>
  <si>
    <t>Pengadaan Bahan Praktik Keterampilan</t>
  </si>
  <si>
    <t>Pengadaan Bahan Referensi</t>
  </si>
  <si>
    <t>5.3.6</t>
  </si>
  <si>
    <t>Workshop peningkatan kompetensi pengembangan bahan ajar bagi guru semua mapel</t>
  </si>
  <si>
    <t>Workshop penyusunan dan pengembangan serta pengadaan bahan ajar semua mapel</t>
  </si>
  <si>
    <t>Workshop peningkatan kompetensi pengelolaan kelas bagi guru</t>
  </si>
  <si>
    <t>Magang guru dalam pengelolaan kelas di sekolah lain</t>
  </si>
  <si>
    <t>Workshop peningkatan kompetensi guru tentang metode/strategi pembelajaran semua mapel</t>
  </si>
  <si>
    <t>Magang guru peningkatan kompetensi guru tentang metode/strategi pembelajaran semua mapel</t>
  </si>
  <si>
    <t>Workshop CTL bagi semua guru mapel</t>
  </si>
  <si>
    <t>Workshop peningkatan kompetensi guru tentang pembelajaran tuntas</t>
  </si>
  <si>
    <t>Magang atau studi banding pelaksanaan pembelajaran tuntas (remidi, pengayaan, akselerasi)</t>
  </si>
  <si>
    <t>Workshop peningkatan kompetensi penilaian berbasis kelas bagi guru semua mapel</t>
  </si>
  <si>
    <t>Workshop pengembangan instrumen penilaian hasil belajar bagi semua guru mapel</t>
  </si>
  <si>
    <t>Workshop peningkatan kompetensi  pengolahan hasil penilaian hasil belajar peserta didik</t>
  </si>
  <si>
    <t>Pelaksanaan pemantauan pembelajaran semua mapel/guru sekolah</t>
  </si>
  <si>
    <t>Workshop peningkatan kompetensi supervisi pembelajaran</t>
  </si>
  <si>
    <t>Pelaksanaan supervisi pembelajaran semua mapel/guru sekolah</t>
  </si>
  <si>
    <t>Workshop peningkatan kompetensi evaluasi pembelajaran</t>
  </si>
  <si>
    <t>Pelaksanaan evaluasi pembelajaran semua mapel/guru sekolah</t>
  </si>
  <si>
    <t>5.4.1</t>
  </si>
  <si>
    <t>Pengembangan Pendidik dan Tenaga Kependidikan</t>
  </si>
  <si>
    <t>Pengembangan Perpustakaan</t>
  </si>
  <si>
    <t>Pembinaan tenaga perpustakaan /peningkatan kompetensi tenaga perpustakaan</t>
  </si>
  <si>
    <t>5.4.2</t>
  </si>
  <si>
    <t>Pembinaan administrasi sekolah</t>
  </si>
  <si>
    <t>Pembuatan Media pembelajaran</t>
  </si>
  <si>
    <t>…jenis</t>
  </si>
  <si>
    <t>Penyelenggaraan kursus ICT</t>
  </si>
  <si>
    <t>Penyelenggaraan kursus bahasa inggris guru dan karyawan</t>
  </si>
  <si>
    <t>Penyelenggaraan Guru Berprestasi</t>
  </si>
  <si>
    <t>Workshop peningkatan kompetensi bidang studi sesuai dengan tugas guru untuk tiap guru mapel</t>
  </si>
  <si>
    <t>Workshop peningkatan kompetensi perencanaan pembelajaran bagi semua guru mapel</t>
  </si>
  <si>
    <t>Workshop peningkatan kompetensi pelaksanaan pembelajaran bagi semua guru mapel</t>
  </si>
  <si>
    <t>Workshop peningkatan kompetensi mengevaluasi pembelajaran bagi semua guru mapel</t>
  </si>
  <si>
    <t>Workshop peningkatan kompetensi pemanfaatan TIK dalam manajemen sekolah</t>
  </si>
  <si>
    <t>Workshop peningkatan kompetensi pengelolaan keuangan sekolah</t>
  </si>
  <si>
    <t>Workshop peningkatan kompetensi bidang administrasi sekolah, laboran dan layanan khusus sekolah</t>
  </si>
  <si>
    <t>Workshop peningkatan kompetensi pemanfaatan TIK dalam administrasi sekolah/perpustakaan, laboratorium, dan lainnya.</t>
  </si>
  <si>
    <t>Workshop peningkatan kompetensi bidang tugas sesuai tupoksinya untuk pustakawan, laboran, tenaga layanan khusus, dll</t>
  </si>
  <si>
    <t>Pembinaan tenaga laboratorium</t>
  </si>
  <si>
    <t>Pembinaan tenaga UKS</t>
  </si>
  <si>
    <t>Pembinaan tenaga ekstrakurikuler</t>
  </si>
  <si>
    <t>Pembinaan tenaga ketatausahaan</t>
  </si>
  <si>
    <t>Kegiatan KKG/MGMP atau KKKS/MKKS</t>
  </si>
  <si>
    <t>5.5.1</t>
  </si>
  <si>
    <t>Pengembangan Sarana dan Prasarana Sekolah</t>
  </si>
  <si>
    <t>Pengadaan AC perpustakaan</t>
  </si>
  <si>
    <t>…unit</t>
  </si>
  <si>
    <t>Pengadaan buku pegangan atau buku teks utama guru</t>
  </si>
  <si>
    <t>Pengadaan buku pelajaran pokok atau buku teks utama peserta didik</t>
  </si>
  <si>
    <t>Pengembangan database perpustakaan dan perpustakaan elektronik (e-library)</t>
  </si>
  <si>
    <t>Pemeliharaan/pembelian perabot perpustakaan</t>
  </si>
  <si>
    <t>Pemeliharaan atau pembelian AC perpustakaan</t>
  </si>
  <si>
    <t>Pengadaan buku pengayaan dan referensi</t>
  </si>
  <si>
    <t>5.5.2</t>
  </si>
  <si>
    <t>Pengadaan alat peraga IPA</t>
  </si>
  <si>
    <t>5.5.3</t>
  </si>
  <si>
    <t>Pembuatan dan pemeliharaan website</t>
  </si>
  <si>
    <t>Pemeliharaan instalasi listrik (termasuk penggantian lampu)</t>
  </si>
  <si>
    <t>Pembelian peralatan/perlengkapan sekolah</t>
  </si>
  <si>
    <t>Pengembangan sekolah sehat, sekolah aman, sekolah ramah anak, sekolah inklusi, sekolah adiwiyata dan sejenisnya</t>
  </si>
  <si>
    <t>5.5.4</t>
  </si>
  <si>
    <t>Pembiayaan Langganan Daya dan/atau Jasa</t>
  </si>
  <si>
    <t>Pemasangan Jaringan Internet Baru</t>
  </si>
  <si>
    <t>Instalasi telepon</t>
  </si>
  <si>
    <t>Penambahan daya listrik</t>
  </si>
  <si>
    <t>Pengadaan genset</t>
  </si>
  <si>
    <t>Penambahan daya internet</t>
  </si>
  <si>
    <t>Pemasangan instalasi listrik baru</t>
  </si>
  <si>
    <t>Pemasangan instalasi air baru</t>
  </si>
  <si>
    <t>Pemasangan instalasi telepon baru</t>
  </si>
  <si>
    <t>5.5.5</t>
  </si>
  <si>
    <t>Pembiayaan Pemeliharaan Sarana dan Prasarana</t>
  </si>
  <si>
    <t>Penambahan meja kursi murid</t>
  </si>
  <si>
    <t>Penambahan meja kursi guru</t>
  </si>
  <si>
    <t>Pengadaan dan Pemeliharaan instalasi air</t>
  </si>
  <si>
    <t>Pemeliharaan kamar mandi/wc guru/karyawan</t>
  </si>
  <si>
    <t>Pemeliharaan kamar mandi/wc peserta didik</t>
  </si>
  <si>
    <t>Pemeliharaan lantai ruang/kelas/lab</t>
  </si>
  <si>
    <t>Pengecatan, perbaikan atap bocor, perbaikan pintu, jendela, lantai atau fasilitas lainnya yang tidak lebih dari rusak ringan</t>
  </si>
  <si>
    <t>Perbaikan mebelair</t>
  </si>
  <si>
    <t>Perbaikan saluran pembuangan dan saluran air hujan</t>
  </si>
  <si>
    <t>Pengadaan mesin tik</t>
  </si>
  <si>
    <t>Pengadaan mesin stensil/mesin pengganda</t>
  </si>
  <si>
    <t>Pengadaan scanner</t>
  </si>
  <si>
    <t>Alat dokumentasi</t>
  </si>
  <si>
    <t>Pengadaan TV, tape recorder</t>
  </si>
  <si>
    <t>Pengadaan alat pelajaran</t>
  </si>
  <si>
    <t>Pengadaan alat transportasi bagi siswa miskin</t>
  </si>
  <si>
    <t>Pengadaan tambahan lahan sekolah</t>
  </si>
  <si>
    <t>…persegi</t>
  </si>
  <si>
    <t>Penambahan ruang kelas baru</t>
  </si>
  <si>
    <t>Penambahan lemari/etalase</t>
  </si>
  <si>
    <t>Penambahan lemari file</t>
  </si>
  <si>
    <t>Penambahan lemari piala</t>
  </si>
  <si>
    <t>Pengadaan papan pengumuman</t>
  </si>
  <si>
    <t>Pengadaan meubelair ruang perpustakaan</t>
  </si>
  <si>
    <t>Pengadaan meubelair ruang UKS dan obat-obatan</t>
  </si>
  <si>
    <t>Pengadaan meubelair ruang laboratorium IPA</t>
  </si>
  <si>
    <t>Pengadaan meubelair ruang komputer</t>
  </si>
  <si>
    <t>Pengadaan meubelair ruang musik</t>
  </si>
  <si>
    <t>Pengadaan meubelair ruang laboratorium bahasa</t>
  </si>
  <si>
    <t>Pengadaan meubelair ruang multimedia</t>
  </si>
  <si>
    <t>Pengadaan meubelair ruang keterampilan</t>
  </si>
  <si>
    <t>Pengadaan meubelair rumah ibadah</t>
  </si>
  <si>
    <t>Penanggulangan dampak darurat bencana</t>
  </si>
  <si>
    <t>Pemeliharaan alat peraga/praktik sekolah</t>
  </si>
  <si>
    <t>Pengadaan alat peraga/pratik sekolah</t>
  </si>
  <si>
    <t>Pemeliharaan ruang kelas</t>
  </si>
  <si>
    <t>Pemeliharaan ruang laboratorium</t>
  </si>
  <si>
    <t>Pemeliharaan ruang perpustakaan</t>
  </si>
  <si>
    <t>Pemeliharaan ruang media</t>
  </si>
  <si>
    <t>Pemeliharaan ruang kepala sekolah</t>
  </si>
  <si>
    <t>Pemeliharaan ruang guru</t>
  </si>
  <si>
    <t>Pemeliharaan ruang tata usaha</t>
  </si>
  <si>
    <t>Pemeliharaan ruang aula</t>
  </si>
  <si>
    <t>Pemeliharaan ruang BP/BK</t>
  </si>
  <si>
    <t>Pemeliharaan ruang ibadah</t>
  </si>
  <si>
    <t>Pemeliharaan taman dan lapangan</t>
  </si>
  <si>
    <t>Pemeliharaan pagar sekolah</t>
  </si>
  <si>
    <t>Pembenahan administrasi/inventarisasi bangunan</t>
  </si>
  <si>
    <t>Penambahan / pembangunan laboratorium</t>
  </si>
  <si>
    <t>Pengadaan peralatan kantor</t>
  </si>
  <si>
    <t>Pemeliharaan peralatan kantor</t>
  </si>
  <si>
    <t>Pengadaan perlengkapan kantor</t>
  </si>
  <si>
    <t>Pengadaan Seragam inventaris sekolah</t>
  </si>
  <si>
    <t>Pemeliharaan bangunan sekolah</t>
  </si>
  <si>
    <t>Membangun jamban/WC beserta sanitasinya</t>
  </si>
  <si>
    <t>5.5.6</t>
  </si>
  <si>
    <t>Membangun kantin sehat</t>
  </si>
  <si>
    <t>5.5.7</t>
  </si>
  <si>
    <t>Penyediaan Alat multimedia Pembelajaran</t>
  </si>
  <si>
    <t>Pengadaan LCD proyektor</t>
  </si>
  <si>
    <t>Pengadaan printer atau printer plus scanner</t>
  </si>
  <si>
    <t>Pengadaan laptop</t>
  </si>
  <si>
    <t>Pemeliharaan komputer</t>
  </si>
  <si>
    <t>Pemeliharaan printer</t>
  </si>
  <si>
    <t>Pemeliharaan Laptop</t>
  </si>
  <si>
    <t>Pemeliharaan Proyektor</t>
  </si>
  <si>
    <t>5.6.1</t>
  </si>
  <si>
    <t>Pengembangan Standar Pengelolaan</t>
  </si>
  <si>
    <t>Pembuatan spanduk sekolah bebas pungutan</t>
  </si>
  <si>
    <t>5.6.2</t>
  </si>
  <si>
    <t>Penyusunan visi dan misi</t>
  </si>
  <si>
    <t>Pelaksanaan rapat kerja kepala sekolah</t>
  </si>
  <si>
    <t>Pembuatan Program Kerja Kepala Sekolah</t>
  </si>
  <si>
    <t>Penyusunan Program RKJM/RPS/RKT/RAPBS/RAKS kecuali untuk pembayaran honorer</t>
  </si>
  <si>
    <t>Lokakarya aplikasi MBS</t>
  </si>
  <si>
    <t>Penyusunan program supervisi, monitoring dan evaluasi</t>
  </si>
  <si>
    <t>Pelaksanaan supervisi akademik</t>
  </si>
  <si>
    <t>Pelaksanaan supervisi non-akademik</t>
  </si>
  <si>
    <t>Pelaksanaan supervisi ekskul</t>
  </si>
  <si>
    <t>Pelaksanaan supervisi perpustakaan</t>
  </si>
  <si>
    <t>Pelaksanaan supervisi laboratorium</t>
  </si>
  <si>
    <t>Pelaksanaan supervisi administrasi tata usaha</t>
  </si>
  <si>
    <t>Pelaksanaan supervisi pemberdayaan alat</t>
  </si>
  <si>
    <t>Pelaksanaan monitoring keuangan</t>
  </si>
  <si>
    <t>Pelaksanaan monitoring kesiswaan</t>
  </si>
  <si>
    <t>Pelaksanaan monitoring kegiatan belajar mengajar</t>
  </si>
  <si>
    <t>Pelaksanaan monitoring kegiatan sarana prasarana</t>
  </si>
  <si>
    <t>Kompetensi Pengembangan Status Sekolah</t>
  </si>
  <si>
    <t>Standar ISO</t>
  </si>
  <si>
    <t>Kajian-kajian yang sesuai dengan kondisi sekolah masing-masing</t>
  </si>
  <si>
    <t>Pengelolaan Sekolah Berbasis ICT/TIK misalnya pengembangan e-book</t>
  </si>
  <si>
    <t>Pengembangan Sistem Informasi Manajemen Sekolah (SIM)</t>
  </si>
  <si>
    <t>Workshop penyusunan pedoman SIM sekolah, PAS, dan laporan RKAS, E-rapor, dan DAPODIK</t>
  </si>
  <si>
    <t>Penyusunan Program Ketatausahaan</t>
  </si>
  <si>
    <t>Updating data guru dan karyawan</t>
  </si>
  <si>
    <t>Updating data kesiswaan</t>
  </si>
  <si>
    <t>Penyusunan Laporan</t>
  </si>
  <si>
    <t>Pengeolaan Inventaris Barang</t>
  </si>
  <si>
    <t>Pengembangan Sistem Informasi Manajemen</t>
  </si>
  <si>
    <t>Penyusunan Leaflet</t>
  </si>
  <si>
    <t>Sosialisasi kebijakan-kebijakan</t>
  </si>
  <si>
    <t>Penyelenggaraan lintas alam</t>
  </si>
  <si>
    <t>Penyelenggaraan karang pamitran</t>
  </si>
  <si>
    <t>5.6.3</t>
  </si>
  <si>
    <t>Kerjasama dengan sekolah Bertaraf Internasional dalam negeri</t>
  </si>
  <si>
    <t>Kerjasama dengan sekolah Bertaraf Internasional luar negeri</t>
  </si>
  <si>
    <t>Workshop peningkatan kompetensi SIM berbasis TIK bagi PTK sekolah</t>
  </si>
  <si>
    <t>5.7.1</t>
  </si>
  <si>
    <t>Pengembangan Standar Pembiayaan</t>
  </si>
  <si>
    <t>Konsumsi Guru / Pegawai</t>
  </si>
  <si>
    <t>Konsumsi Tamu</t>
  </si>
  <si>
    <t>Konsumsi Rapat dinas</t>
  </si>
  <si>
    <t>Pembelian minuman dan/atau makanan ringan untuk kebutuhan sehari-hari di sekolah</t>
  </si>
  <si>
    <t>Pembelian Gas</t>
  </si>
  <si>
    <t>Pengadaan alat RT sekolah dan/atau suku cadang alat kantor</t>
  </si>
  <si>
    <t>Pengadaan alat kebersihan</t>
  </si>
  <si>
    <t>Penyelenggaraan kegiatan pendokumentasian nilai aset semua sarpras sekolah pada tahun berjalan</t>
  </si>
  <si>
    <t>Penyediaan pembiayaan untuk studi lanjut pendidik/tenaga kependidikan</t>
  </si>
  <si>
    <t>Workshop peningkatan kompetensi PTK dalam aspek transparansi dan akuntabilitas pengelolaan program, kegiatan, hasil-hasil, dan keuangan sekolah)</t>
  </si>
  <si>
    <t>Penyelenggaraan sosialisasi dan pelaporan program,  kegiatan hasil-hasil, dan pengelolaan keuangan sekolah</t>
  </si>
  <si>
    <t>Pembelian alat tulis kantor (termasuk tinta printer, CD dan flashdisk)</t>
  </si>
  <si>
    <t>Penyelenggaraan penerimaan sumbangan pendidikan dari masyarakat</t>
  </si>
  <si>
    <t>Workshop penggalian dana pendidikan bersama komite sekolah/lainnya</t>
  </si>
  <si>
    <t>Workshop pengelolaan dana dari masyarakat dan lainnya</t>
  </si>
  <si>
    <t>Bea materai, administrasi bank</t>
  </si>
  <si>
    <t>Penggandaan laporan dan/atau surat-menyurat</t>
  </si>
  <si>
    <t>Honor bagi penyusunan laporan BOS</t>
  </si>
  <si>
    <t>Biaya transportasi dalam rangka mengambil dana BOS di bank/kantor pos</t>
  </si>
  <si>
    <t>Transportasi dalam rangka koordinasi dan pelaporan ke dinas pendidikan kabupaten/kota</t>
  </si>
  <si>
    <t>5.7.2</t>
  </si>
  <si>
    <t>Pembayaran iuran internet</t>
  </si>
  <si>
    <t>Pembayaran Rek listrik</t>
  </si>
  <si>
    <t>Pembayaran Rek telepon</t>
  </si>
  <si>
    <t>Pembayaran langganan internet</t>
  </si>
  <si>
    <t>Pembayaran retribusi keamanan dan sampah</t>
  </si>
  <si>
    <t>Pembayaran langganan air</t>
  </si>
  <si>
    <t>Belanja sewa rumah/gedung/gudang/parkir/tanah</t>
  </si>
  <si>
    <t>5.7.3</t>
  </si>
  <si>
    <t>Pembiayaan Penyelenggaraan Bursa Kerja Khusus, Praktik kerja Industri, Praktik Kerja Lapangan di dalam Negeri, Pemantauan Kebekerjaan, Pemagangan Guru, dan Lembaga Sertifikasi Profesi Pihak Pertama</t>
  </si>
  <si>
    <t>Pengembangan kerjasama penyelenggaraan bursa kerja</t>
  </si>
  <si>
    <t>Penyelenggaraan praktik kerja industri/lapangan</t>
  </si>
  <si>
    <t>Pemantauan keberkerjaan lulusan</t>
  </si>
  <si>
    <t>Pemagangan Guru di industri</t>
  </si>
  <si>
    <t>Pengembangan ruang lingkup skema sertifikasi</t>
  </si>
  <si>
    <t>Penyelenggaraan lembaga sertifikasi profesi pihak pertama</t>
  </si>
  <si>
    <t>Pembiayaan lain yang relevan dalam rangka menunjang pembiayaan kerja khusus, Praktik Kerja Industri atau PKL di dalam negeri, pemantauan kebekerjaan, pemangangan dan Lem sertifikasi)</t>
  </si>
  <si>
    <t>5.7.4</t>
  </si>
  <si>
    <t>Pembiayaan Penyelenggaraan Kegiatan Uji Komp Keahlian, Sertifikasi Kompetensi Keahlian, dan Uji Komp Kemampuan Bhs Inggris Berstandar Internasional dan Bhs Asing Lainnya bagi kelas akhir SMK atau SMALB</t>
  </si>
  <si>
    <t>Penyelenggaraan kegiatan uji kompetensi keahlian</t>
  </si>
  <si>
    <t>Penyelenggaraan kejuruan peserta didik</t>
  </si>
  <si>
    <t>Penyelenggaraan kegiatan sertifikasi kompetensi peserta didik</t>
  </si>
  <si>
    <t>Biaya penyelenggaraan TOEIC</t>
  </si>
  <si>
    <t>Pembiayaan lain yang relevan dalam rangka menunjang penyelenggaraan kegiatan uji komp keahlian, sertifikasi komp keahlian, dan uji komp bahasa inggris berstandar internasional, dan bahasa asing lainnya)</t>
  </si>
  <si>
    <t>5.7.5</t>
  </si>
  <si>
    <t xml:space="preserve">Pembiayaan untuk Pembayaran Honor </t>
  </si>
  <si>
    <t>Pembayaran honor guru</t>
  </si>
  <si>
    <t>Pembayaran honor tenaga administrasi</t>
  </si>
  <si>
    <t>Pembayaran honor pegawai perpustakaan</t>
  </si>
  <si>
    <t>Pembayaran honor penjaga sekolah/satpam/pegawai kebersihan</t>
  </si>
  <si>
    <t>Gaji dan Tunjangan ASN</t>
  </si>
  <si>
    <t>5.8.1</t>
  </si>
  <si>
    <t>Pengembangan dan implementasi sistem penilaian</t>
  </si>
  <si>
    <t>Analisis</t>
  </si>
  <si>
    <t xml:space="preserve">Remedial </t>
  </si>
  <si>
    <t>Pengayaan</t>
  </si>
  <si>
    <t>5.8.2</t>
  </si>
  <si>
    <t>Penyusunan Kompetensi Ketuntasan Minimal</t>
  </si>
  <si>
    <t>Penyusunan kriteria kenaikan kelas</t>
  </si>
  <si>
    <t>Penyusunan kisi-kisi ulangan harian</t>
  </si>
  <si>
    <t>Penyusunan Kisi kisi ulangan tengah semester</t>
  </si>
  <si>
    <t>Penyusunan kisi kisi ulangan akhir semester</t>
  </si>
  <si>
    <t>Penyusunan kisi kisi ulangan kenaikan kelas</t>
  </si>
  <si>
    <t>Penyusunan kisi kisi ujian sekolah</t>
  </si>
  <si>
    <t>Penyusunan Soal Ulangan Harian</t>
  </si>
  <si>
    <t>Penyusunan Soal Ulangan Tengah Semester</t>
  </si>
  <si>
    <t>Penyusunan Soal Ulangan Akhir Semester</t>
  </si>
  <si>
    <t>Penyusunan Soal Ulangan Kenaikan Kelas</t>
  </si>
  <si>
    <t>Penyusunan Soal Ujian Sekolah</t>
  </si>
  <si>
    <t>Pelaksanaan Penilaian Ulangan Harian</t>
  </si>
  <si>
    <t>Pelaksanaan Penilaian Ulangan Tengah Semester</t>
  </si>
  <si>
    <t>Pelaksanaan Penilaian Ulangan Akhir Semester</t>
  </si>
  <si>
    <t>Pelaksanaan Penilaian Ulangan Kenaikan Kelas</t>
  </si>
  <si>
    <t>Pelaksanaan Penilaian Ujian Sekolah</t>
  </si>
  <si>
    <t>Pelaksanaan Penilaian Ujian Nasional Berbasis Kertas dan Pensil (UNKP)</t>
  </si>
  <si>
    <t>Simulasi dan Pelaksanaan Ujian Nasional Berbasis Komputer (UNBK)</t>
  </si>
  <si>
    <t>5.8.3</t>
  </si>
  <si>
    <t>Portofolio</t>
  </si>
  <si>
    <t>Proyek</t>
  </si>
  <si>
    <t>Penugasan</t>
  </si>
  <si>
    <t>Workshop</t>
  </si>
  <si>
    <t>IHT</t>
  </si>
  <si>
    <t>Pelatihan</t>
  </si>
  <si>
    <t>Silpa BOSN 2021</t>
  </si>
  <si>
    <t>5.5 Pengembangan Sarana dan Prasarana Sekolah</t>
  </si>
  <si>
    <t>5.5.1 Pembiayaan Pengembangan Perpustakaan</t>
  </si>
  <si>
    <t>Pemeliharaan atau Pengadaan Buku/Koleksi Perpustakaan</t>
  </si>
  <si>
    <t>1. Pemeliharaan atau Pengadaan Buku/Koleksi Perpustakaan</t>
  </si>
  <si>
    <t>BELANJA MODAL</t>
  </si>
  <si>
    <t>BELANJA MODAL ASET TETAP LAINNYA</t>
  </si>
  <si>
    <t>Belanja Modal Bahan Perpustakaan</t>
  </si>
  <si>
    <t>Belanja Modal Bahan Perpustakaan Tercetak</t>
  </si>
  <si>
    <t>0001</t>
  </si>
  <si>
    <t>Belanja Modal Buku Umum</t>
  </si>
  <si>
    <t>Buku</t>
  </si>
  <si>
    <t>eks</t>
  </si>
  <si>
    <t>BOSN</t>
  </si>
  <si>
    <t>tata kala perencanaan anggaran bulanan</t>
  </si>
  <si>
    <t>tata kala pengeluaran anggaran bulanan</t>
  </si>
  <si>
    <t>Pemeliharaan Perlengkapan Sekolah</t>
  </si>
  <si>
    <t>5.5.5 Pembiayaan Pemeliharaan Sarana dan Prasarana</t>
  </si>
  <si>
    <t>0005</t>
  </si>
  <si>
    <t>Kain Mori/Bahan Batik</t>
  </si>
  <si>
    <t>m</t>
  </si>
  <si>
    <t>0024</t>
  </si>
  <si>
    <t>Belanja Alat/Bahan untuk Kegiatan Kantor- Alat Tulis Kantor</t>
  </si>
  <si>
    <t>Kertas HVS F4</t>
  </si>
  <si>
    <t>rim</t>
  </si>
  <si>
    <t>Kertas HVS A4</t>
  </si>
  <si>
    <t>Snelhelter Plastik</t>
  </si>
  <si>
    <t>pcs</t>
  </si>
  <si>
    <t>Isi Cutter</t>
  </si>
  <si>
    <t>Spidol Whiteboard Hitam Snowman</t>
  </si>
  <si>
    <t>Stofmap Kertas</t>
  </si>
  <si>
    <t>pack</t>
  </si>
  <si>
    <t>Trigonal Klip</t>
  </si>
  <si>
    <t>Spidol Whiteboard Merah</t>
  </si>
  <si>
    <t>Tinta Spidol Whiteboard</t>
  </si>
  <si>
    <t>0027</t>
  </si>
  <si>
    <t>Belanja Alat/Bahan untuk Kegiatan Kantor- Benda Pos</t>
  </si>
  <si>
    <t>Materai 10.000</t>
  </si>
  <si>
    <t>Belanja Alat/Bahan untuk Kegiatan Kantor- Bahan Komputer</t>
  </si>
  <si>
    <t>Refill Tinta Printer Laser (CV Binakarya)</t>
  </si>
  <si>
    <t>Catridge Warna (CV Binakarya)</t>
  </si>
  <si>
    <t>Catridge Hitam Printer HP Neverstop Laser 1000a (CV Binakarya)</t>
  </si>
  <si>
    <t>Refill Toner HP MFP M125a (Sidiq Toner)</t>
  </si>
  <si>
    <t>0030</t>
  </si>
  <si>
    <t>Belanja Alat/Bahan untuk Kegiatan Kantor- Perabot Kantor</t>
  </si>
  <si>
    <t>Sapu Ijuk</t>
  </si>
  <si>
    <t>Sendok</t>
  </si>
  <si>
    <t>lusin</t>
  </si>
  <si>
    <t>Kapur Barus</t>
  </si>
  <si>
    <t>Tempat Sampah Kecil</t>
  </si>
  <si>
    <t>Sapu Lidi Bergagang</t>
  </si>
  <si>
    <t>Sabun Cuci Piring</t>
  </si>
  <si>
    <t>Serok Sampah</t>
  </si>
  <si>
    <t>Keset Kain</t>
  </si>
  <si>
    <t>Isi Ulang Sabun Cuci Tangan</t>
  </si>
  <si>
    <t>0031</t>
  </si>
  <si>
    <t>Belanja Alat/Bahan untuk Kegiatan Kantor- Alat Listrik</t>
  </si>
  <si>
    <t>Lampu LED</t>
  </si>
  <si>
    <t>0037</t>
  </si>
  <si>
    <t>Belanja Obat-Obatan-Obat</t>
  </si>
  <si>
    <t>box</t>
  </si>
  <si>
    <t>botol</t>
  </si>
  <si>
    <t>Perban/Kain Kasa</t>
  </si>
  <si>
    <t>Januari s.d Desember</t>
  </si>
  <si>
    <t>1. Pemeliharaan Perlengkapan Sekolah</t>
  </si>
  <si>
    <t>5.5.7 Penyediaan Alat multimedia Pembelajaran</t>
  </si>
  <si>
    <t>Pengadaan Komputer Dekstop/Work Station</t>
  </si>
  <si>
    <t>1. Pengadaan Komputer Dekstop/Work Station</t>
  </si>
  <si>
    <t>BELANJA MODAL PERALATAN DAN MESIN</t>
  </si>
  <si>
    <t>Belanja Modal Komputer</t>
  </si>
  <si>
    <t>Belanja Modal Komputer Unit</t>
  </si>
  <si>
    <t>0002</t>
  </si>
  <si>
    <t>Belanja Modal Personal Computer</t>
  </si>
  <si>
    <t>unit</t>
  </si>
  <si>
    <t>Januari, Februari, Maret</t>
  </si>
  <si>
    <t>2. Pengadaan Laptop</t>
  </si>
  <si>
    <t>2. Pengadaan Alat Peraga/Praktik Sekolah</t>
  </si>
  <si>
    <t>Malam Klowong</t>
  </si>
  <si>
    <t>buah</t>
  </si>
  <si>
    <t>5.7 Pengembangan Standar Pembiayaan</t>
  </si>
  <si>
    <t>5.7.2 Pembiayaan Langganan Daya dan/atau Jasa</t>
  </si>
  <si>
    <t>1. Pembayaran Rek listrik</t>
  </si>
  <si>
    <t>2. Pembayaran Rek telepon</t>
  </si>
  <si>
    <t>3. Pembayaran langganan internet</t>
  </si>
  <si>
    <t>0061</t>
  </si>
  <si>
    <t>0059</t>
  </si>
  <si>
    <t>Belanja Tagihan Telepon</t>
  </si>
  <si>
    <t>Tagihan Telepon dan Internet</t>
  </si>
  <si>
    <t>Tagihan Listrik</t>
  </si>
  <si>
    <t>5.3 Pengembangan Standar Proses</t>
  </si>
  <si>
    <t>5.3.1 Pembiayaan Penerimaan Peserta Didik Baru</t>
  </si>
  <si>
    <t>1. Pelaksanaan Pendaftaran Peserta Didik Baru (PPDB)</t>
  </si>
  <si>
    <t>0026</t>
  </si>
  <si>
    <t>Belanja Alat/Bahan untuk Kegiatan Kantor- Bahan Cetak</t>
  </si>
  <si>
    <t>Cetak Brosur</t>
  </si>
  <si>
    <t>lbr</t>
  </si>
  <si>
    <t>BOSDA</t>
  </si>
  <si>
    <t>0004</t>
  </si>
  <si>
    <t>Honorarium Tim Pelaksana Kegiatan dan Sekretariat Tim Pelaksana Kegiatan</t>
  </si>
  <si>
    <t>Ketua</t>
  </si>
  <si>
    <t>Tim PPDB</t>
  </si>
  <si>
    <t>Sekretaris</t>
  </si>
  <si>
    <t>Anggota</t>
  </si>
  <si>
    <t>org</t>
  </si>
  <si>
    <t>ob</t>
  </si>
  <si>
    <t>x</t>
  </si>
  <si>
    <t>April, Juni</t>
  </si>
  <si>
    <t>BOSDA Rp3.075.000,00</t>
  </si>
  <si>
    <t>5.3.3 Pembiayaan Kegiatan Pembelajaran dan Ekstrakurikuler</t>
  </si>
  <si>
    <t>1. Pelaksanaan Ekstrakurikuler Kepramukaan</t>
  </si>
  <si>
    <t>2. Pelaksanaan Ekstrakurikuler Seni dan Budaya</t>
  </si>
  <si>
    <t>3. Pelaksanaan Ekstrakurikuler Olahraga</t>
  </si>
  <si>
    <t>Pelaksanaan Program-Program Sekolah Lainnya</t>
  </si>
  <si>
    <t>4. Pelaksanaan Program-Program Sekolah Lainnya</t>
  </si>
  <si>
    <t>0013</t>
  </si>
  <si>
    <t>Belanja Jasa Tenaga Pendidikan</t>
  </si>
  <si>
    <t>Instruktur Ekstrakurikuler Pramuka</t>
  </si>
  <si>
    <t>jp</t>
  </si>
  <si>
    <t>Instruktur Ekstrakurikuler Seni Tari</t>
  </si>
  <si>
    <t>Instruktur Ekstrakurikuler Tapak Suci</t>
  </si>
  <si>
    <t>5.4 Pengembangan Pendidik dan Tenaga Kependidikan</t>
  </si>
  <si>
    <t>5.4.2 Pembiayaan Pengembangan Profesi Guru dan Tenaga Kependidikan</t>
  </si>
  <si>
    <t>Peningkatan Kualitas Guru Kelas, Mata Pelajaran</t>
  </si>
  <si>
    <t>Peningkatan Kompetensi Kepala Sekolah</t>
  </si>
  <si>
    <t>1. Peningkatan Kualitas Guru Kelas, Mata Pelajaran</t>
  </si>
  <si>
    <t>2. Peningkatan Kompetensi Kepala Sekolah</t>
  </si>
  <si>
    <t>Peningkatan Kompetensi Guru untuk Keterlibatan Orangtua/Wali dan Masyarakat dalam Pembelajaran</t>
  </si>
  <si>
    <t>3. Peningkatan Kompetensi Guru untuk Keterlibatan Orangtua/Wali dan Masyarakat dalam Pembelajaran</t>
  </si>
  <si>
    <t>0003</t>
  </si>
  <si>
    <t>Honorarium Narasumber atau Pembahas, Moderator, Pembawa Acara, dan Panitia</t>
  </si>
  <si>
    <t>keg</t>
  </si>
  <si>
    <t>jam</t>
  </si>
  <si>
    <t>04</t>
  </si>
  <si>
    <t>Belanja Perjalanan Dinas</t>
  </si>
  <si>
    <t>Belanja Perjalanan Dinas Dalam Negeri</t>
  </si>
  <si>
    <t>Belanja Perjalanan Dinas Biasa</t>
  </si>
  <si>
    <t>Januari, Juni</t>
  </si>
  <si>
    <t>BOSN Rp20.000.000,00 BOSDA Rp15.000.000,00</t>
  </si>
  <si>
    <t>3. Pemeliharaan Taman dan Lapangan</t>
  </si>
  <si>
    <t>4. Pemeliharaan Bangunan Sekolah</t>
  </si>
  <si>
    <t>03</t>
  </si>
  <si>
    <t>Belanja Pemeliharaan</t>
  </si>
  <si>
    <t>Belanja Pemeliharaan Gedung dan Bangunan</t>
  </si>
  <si>
    <t>0010</t>
  </si>
  <si>
    <t>0036</t>
  </si>
  <si>
    <t xml:space="preserve">Belanja Pemeliharaan Bangunan Gedung- Bangunan Gedung Tempat Kerja-Taman </t>
  </si>
  <si>
    <t>5. Penambahan Lemari/Etalase</t>
  </si>
  <si>
    <t>Belanja Modal Alat Kantor dan Rumah Tangga</t>
  </si>
  <si>
    <t>6. Pemeliharaan Peralatan Kantor</t>
  </si>
  <si>
    <t>Belanja Pemeliharaan Peralatan dan Mesin</t>
  </si>
  <si>
    <t>0117</t>
  </si>
  <si>
    <t>Belanja Pemeliharaan Alat Kantor dan Rumah Tangga-Alat Kantor-Alat Kantor</t>
  </si>
  <si>
    <t>0124</t>
  </si>
  <si>
    <t>BOSN Rp24.300.000,00 BOSDA Rp38.230.000,00</t>
  </si>
  <si>
    <t>3. Pemeliharaan Printer</t>
  </si>
  <si>
    <t>4. Pengadaan LCD Proyektor</t>
  </si>
  <si>
    <t>Belanja Modal Alat Kantor</t>
  </si>
  <si>
    <t>Belanja Modal Alat Kantor Lainnya</t>
  </si>
  <si>
    <t>BOSN Rp30.000.000,00 BOSDA Rp13.200.000,00</t>
  </si>
  <si>
    <t>5.6 Pengembangan Standar Pengelolaan</t>
  </si>
  <si>
    <t>5.6.2 Pembiayaan Administrasi Kegiatan Sekolah</t>
  </si>
  <si>
    <t>1. Updating Data Kesiswaan</t>
  </si>
  <si>
    <t>0009</t>
  </si>
  <si>
    <t>Honorarium Penyelenggara Ujian</t>
  </si>
  <si>
    <t>Operator Dapodik</t>
  </si>
  <si>
    <t>BOSDA Rp900.000,00</t>
  </si>
  <si>
    <t>5.7.1 Pembiayaan Administrasi Kegiatan Sekolah</t>
  </si>
  <si>
    <t>1. Konsumsi Rapat Dinas</t>
  </si>
  <si>
    <t>2. Penggandaan Laporan dan/atau Surat-menyurat</t>
  </si>
  <si>
    <t>0052</t>
  </si>
  <si>
    <t>Belanja Makanan dan Minuman Rapat</t>
  </si>
  <si>
    <t>Snack (1 tahun)</t>
  </si>
  <si>
    <t>os</t>
  </si>
  <si>
    <t>oh</t>
  </si>
  <si>
    <t>Januari, April, Juni</t>
  </si>
  <si>
    <t>0062</t>
  </si>
  <si>
    <t>Belanja Langganan Jurnal/Surat Kabar/Majalah</t>
  </si>
  <si>
    <t>Surat Kabar</t>
  </si>
  <si>
    <t>1. Pembayaran Langganan Koran dan Majalah</t>
  </si>
  <si>
    <t>5.3.2 Pembiayaan Pengembangan Perpustakaan</t>
  </si>
  <si>
    <t>BOSDA Rp1.080.000,00</t>
  </si>
  <si>
    <t xml:space="preserve">5.7.5 Pembiayaan untuk Pembayaran Honor </t>
  </si>
  <si>
    <t>Pengelola Sekolah - Wali kelas</t>
  </si>
  <si>
    <t>Pengelola Sekolah - Pembantu Bendahara (non ASN)</t>
  </si>
  <si>
    <t>1. Pembayaran Honor Tenaga Administrasi</t>
  </si>
  <si>
    <t>2. Gaji dan Tunjangan ASN</t>
  </si>
  <si>
    <t>5.8 Pengembangan dan Implementasi Sistem Penilaian</t>
  </si>
  <si>
    <t>5.8.2 Kegiatan Pembiayaan Asesmen/Evaluasi Pembelajaran dan Ekstrakurikuler</t>
  </si>
  <si>
    <t>1. Penyusunan Kisi-kisi Ujian Sekolah</t>
  </si>
  <si>
    <t>2. Penyusunan Soal Ujian Sekolah</t>
  </si>
  <si>
    <t>3. Pelaksanaan Penilaian Ujian Sekolah</t>
  </si>
  <si>
    <t>4. Simulasi dan Pelaksanaan Ujian Nasional Berbasis Komputer (UNBK)</t>
  </si>
  <si>
    <t>Tim ASPD</t>
  </si>
  <si>
    <t>Tim ANBK</t>
  </si>
  <si>
    <t>hr</t>
  </si>
  <si>
    <t>Tim USEK</t>
  </si>
  <si>
    <t>Instruktur Pendalaman Materi Kelas VI</t>
  </si>
  <si>
    <t>jpl</t>
  </si>
  <si>
    <t>Pembuat Kisi-kisi Soal per Mapel</t>
  </si>
  <si>
    <t>naskah</t>
  </si>
  <si>
    <t>Pembuat Soal Ujian per Mapel</t>
  </si>
  <si>
    <t>Penguji Ujian Praktek per Mapel</t>
  </si>
  <si>
    <t>siswa</t>
  </si>
  <si>
    <t>siswa/naskah</t>
  </si>
  <si>
    <t>Korektor Ujian Sekolah per Mapel</t>
  </si>
  <si>
    <t>BELANJA PEGAWAI</t>
  </si>
  <si>
    <t>Tambahan Penghasilan berdasarkan Pertimbangan Objektif Lainnya ASN</t>
  </si>
  <si>
    <t>07</t>
  </si>
  <si>
    <t>Belanja Honorarium</t>
  </si>
  <si>
    <t>Pengelola Keuangan</t>
  </si>
  <si>
    <t>Pengelola Sekolah - Bendahara</t>
  </si>
  <si>
    <t>Pengurus Barang</t>
  </si>
  <si>
    <t>Honor Pengurus Barang Pembantu Sekolah</t>
  </si>
  <si>
    <t>BOSDA Rp13.800.000,00</t>
  </si>
  <si>
    <t>Belanja Jasa Tenaga Informasi dan Teknologi</t>
  </si>
  <si>
    <t>ASPD</t>
  </si>
  <si>
    <t>Proktor</t>
  </si>
  <si>
    <t>Teknisi</t>
  </si>
  <si>
    <t>ANBK</t>
  </si>
  <si>
    <t>0039</t>
  </si>
  <si>
    <t>BOSDA Rp8.050.000,00</t>
  </si>
  <si>
    <t>0048</t>
  </si>
  <si>
    <t>Belanja Jasa Kontribusi Asosiasi</t>
  </si>
  <si>
    <t>Pesta Siaga</t>
  </si>
  <si>
    <t>regu</t>
  </si>
  <si>
    <t>Kepramukaan</t>
  </si>
  <si>
    <t>Pembelajaran Luar Sekolah</t>
  </si>
  <si>
    <t>Kelas 1 dan 2</t>
  </si>
  <si>
    <t>Kelas 3 dan 4</t>
  </si>
  <si>
    <t>Kelas 5 dan 6</t>
  </si>
  <si>
    <t>5. Pelaksanaan Lomba OOSN</t>
  </si>
  <si>
    <t>6. Pelaksanaan Lomba FLSSN</t>
  </si>
  <si>
    <t>Registrasi Lomba-lomba</t>
  </si>
  <si>
    <t>FLSSN</t>
  </si>
  <si>
    <t>OOSN</t>
  </si>
  <si>
    <t>MTQ</t>
  </si>
  <si>
    <t>BOSDA Rp26.640.000,00</t>
  </si>
  <si>
    <t>4. Kegiatan KKG/MGMP atau KKKS/MKKS</t>
  </si>
  <si>
    <t>KKKS</t>
  </si>
  <si>
    <t>thn</t>
  </si>
  <si>
    <t>KKG Guru Kelas</t>
  </si>
  <si>
    <t>KKG Guru PJOK</t>
  </si>
  <si>
    <t>KKG Guru PAI</t>
  </si>
  <si>
    <t>BOSDA Rp10.140.000,00</t>
  </si>
  <si>
    <t>Januari, Mei, Juli</t>
  </si>
  <si>
    <t>0067</t>
  </si>
  <si>
    <t>Belanja Pembayaran Pajak, Bea, dan Perizinan</t>
  </si>
  <si>
    <t>Retribusi Pengelolaan Sampah DLH Pemkot Yk</t>
  </si>
  <si>
    <t>Retribusi Sampah Bulanan Sekolah</t>
  </si>
  <si>
    <t>BOSN Rp12.180.000,00 BOSDA Rp900.000,00</t>
  </si>
  <si>
    <t>5.5.3 Pembiayaan Administrasi Kegiatan Sekolah</t>
  </si>
  <si>
    <t>Juli</t>
  </si>
  <si>
    <t>BOSDA Rp1.500.000,00</t>
  </si>
  <si>
    <t>1. Pembuatan dan Pemeliharaan Website</t>
  </si>
  <si>
    <t>Belanja Sewa Aset Tetap Lainnya</t>
  </si>
  <si>
    <t>Belanja Sewa Serial</t>
  </si>
  <si>
    <t>Perpanjang Domain Website Sekolah</t>
  </si>
  <si>
    <t>BOSDA Rp17.485.000,00</t>
  </si>
  <si>
    <t>Tiang mic Berdiri</t>
  </si>
  <si>
    <t>Belanja Modal Alat Rumah Tangga Lainnya</t>
  </si>
  <si>
    <t>06</t>
  </si>
  <si>
    <t>Belanja Modal Peralatan Studio Video dan FILM</t>
  </si>
  <si>
    <t>Laptop core i7</t>
  </si>
  <si>
    <t>0025</t>
  </si>
  <si>
    <t>Belanja Alat/Bahan untuk Kegiatan Kantor- Kertas Dan Cover</t>
  </si>
  <si>
    <t>Lampu LED 6 watt</t>
  </si>
  <si>
    <t>Obat masuk angin</t>
  </si>
  <si>
    <t>Kapas Pembalut 100 gram</t>
  </si>
  <si>
    <t>Minyak Gosok</t>
  </si>
  <si>
    <t>Buku Tulis 38 lbr</t>
  </si>
  <si>
    <t>Doubletip 0,5 inchi</t>
  </si>
  <si>
    <t>Doubletip 1 inchi</t>
  </si>
  <si>
    <t>Batu Baterai Tanggung</t>
  </si>
  <si>
    <t>Belanja Bahan-bahan Baku Praktik KBM</t>
  </si>
  <si>
    <t>Cetak Banner</t>
  </si>
  <si>
    <t>Pengolah Nilai</t>
  </si>
  <si>
    <t>Reffil Printer Leser</t>
  </si>
  <si>
    <t>Toner Printer</t>
  </si>
  <si>
    <t>Silpa BOSN 2024</t>
  </si>
  <si>
    <t>Sujimin, S.Pd,</t>
  </si>
  <si>
    <t>Pemeliharaan CCTV</t>
  </si>
  <si>
    <t>Belanja Pemeliharaan komputer-Komputer unit-personal computer</t>
  </si>
  <si>
    <t>Belanja Modal Mebel</t>
  </si>
  <si>
    <t>TAHUN ANGGARAN 2026</t>
  </si>
  <si>
    <t>Yogyakarta, 11 Februari 2026</t>
  </si>
  <si>
    <t>Tahun Anggaran 2026</t>
  </si>
  <si>
    <t>BOSN 2026</t>
  </si>
  <si>
    <t>BOSDA 2026</t>
  </si>
  <si>
    <t>Yogyakarta, 24 November 2025</t>
  </si>
  <si>
    <t>Yogyakarta, 24 November 2026</t>
  </si>
  <si>
    <t>Yogyakarta, 24 November 20254</t>
  </si>
  <si>
    <t>5.2 Penyusunan Dokumen Kurikulum</t>
  </si>
  <si>
    <t>5.2 Cetak Dokumen</t>
  </si>
  <si>
    <t>BOSDA Rp 480.000</t>
  </si>
  <si>
    <t>1. Penyusunan Kurikulum</t>
  </si>
  <si>
    <t>2. Penyusunan Perangkat Ajar</t>
  </si>
  <si>
    <t>Belanja Cetak kurikulum</t>
  </si>
  <si>
    <t>Pengamanan Ujian</t>
  </si>
  <si>
    <t>Panitia Ujian</t>
  </si>
  <si>
    <t>Tim Pengembang Kurikulum</t>
  </si>
  <si>
    <t>00</t>
  </si>
  <si>
    <t>Instruktur Ekstrakurikuler Seni Lukis</t>
  </si>
  <si>
    <t>Instruktur Ekstrakurikuler Paduan Suara</t>
  </si>
  <si>
    <t>Instruktur Ekstrakurikuler Bulutangkis</t>
  </si>
  <si>
    <t>Kemah Penggalang</t>
  </si>
  <si>
    <t>Tokoh masyarakat</t>
  </si>
  <si>
    <t>Ahli</t>
  </si>
  <si>
    <t>Perjalanan Dinas Dalam Kota</t>
  </si>
  <si>
    <t>Pendamping Kegiatan</t>
  </si>
  <si>
    <t>Uang Saku</t>
  </si>
  <si>
    <t>Cetak Sertifikat</t>
  </si>
  <si>
    <t>Cetak piala</t>
  </si>
  <si>
    <t>set</t>
  </si>
  <si>
    <t xml:space="preserve">FC warna </t>
  </si>
  <si>
    <t>Belanja Pemeliharaan listrik</t>
  </si>
  <si>
    <t>Pemeliharaan Leptop</t>
  </si>
  <si>
    <t>Pemeliharaan Listrik</t>
  </si>
  <si>
    <t>Pemeliharaan Printer</t>
  </si>
  <si>
    <t>Pemeliharaan Projektor LCD</t>
  </si>
  <si>
    <t>UPS</t>
  </si>
  <si>
    <t>UPS 1200VA</t>
  </si>
  <si>
    <t>Papan nama</t>
  </si>
  <si>
    <t>LCD Proyektor</t>
  </si>
  <si>
    <t>Kursi Putar</t>
  </si>
  <si>
    <t>Sofa</t>
  </si>
  <si>
    <t>Meja Tamu</t>
  </si>
  <si>
    <t>TV 40 inc</t>
  </si>
  <si>
    <t xml:space="preserve">Sewa Bus </t>
  </si>
  <si>
    <t>unt</t>
  </si>
  <si>
    <t>Sewa Tenda Plafon</t>
  </si>
  <si>
    <t>Sewa Kostum</t>
  </si>
  <si>
    <t>m2</t>
  </si>
  <si>
    <t>Lakban Bening kecil</t>
  </si>
  <si>
    <t>Lakban Bening besar</t>
  </si>
  <si>
    <t>Kertas HVS A4 80 gr</t>
  </si>
  <si>
    <t>riim</t>
  </si>
  <si>
    <t>Alat pel lantai</t>
  </si>
  <si>
    <t>Sapu Sawang ( lowo lowo)</t>
  </si>
  <si>
    <t>Minyak Kayu Putih</t>
  </si>
  <si>
    <t>kapas P3K</t>
  </si>
  <si>
    <t xml:space="preserve">Pewarna Batik remasol </t>
  </si>
  <si>
    <t>100  gram</t>
  </si>
  <si>
    <t>Tisue Kotak 200 Ply</t>
  </si>
  <si>
    <t>KK Operator Dapodik</t>
  </si>
  <si>
    <t>FC Hitam Putih</t>
  </si>
  <si>
    <t xml:space="preserve">Pemeliharaan Taman </t>
  </si>
  <si>
    <t>Pengawas Ruang</t>
  </si>
  <si>
    <t>hari</t>
  </si>
  <si>
    <t>Penanggung jawab</t>
  </si>
  <si>
    <t>Sewa Panggung &amp; Karpet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</si>
</sst>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&quot;Rp&quot;#,##0"/>
    <numFmt numFmtId="166" formatCode="&quot;Rp&quot;#,##0.00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22"/>
      <color theme="1"/>
      <name val="Times New Roman"/>
      <family val="1"/>
    </font>
    <font>
      <b/>
      <sz val="18"/>
      <color theme="1"/>
      <name val="Times New Roman"/>
      <family val="1"/>
    </font>
    <font>
      <b/>
      <sz val="18"/>
      <color theme="1"/>
      <name val="Calibri"/>
      <family val="2"/>
      <charset val="1"/>
      <scheme val="minor"/>
    </font>
    <font>
      <sz val="14"/>
      <color theme="1"/>
      <name val="Times New Roman"/>
      <family val="1"/>
    </font>
    <font>
      <sz val="16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6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sz val="10"/>
      <name val="Arial"/>
      <family val="2"/>
    </font>
    <font>
      <b/>
      <sz val="10"/>
      <name val="Times New Roman"/>
      <family val="1"/>
    </font>
    <font>
      <b/>
      <sz val="20"/>
      <name val="Times New Roman"/>
      <family val="1"/>
    </font>
    <font>
      <b/>
      <sz val="18"/>
      <name val="Times New Roman"/>
      <family val="1"/>
    </font>
    <font>
      <b/>
      <sz val="24"/>
      <name val="Times New Roman"/>
      <family val="1"/>
    </font>
    <font>
      <b/>
      <sz val="20"/>
      <color theme="0"/>
      <name val="Times New Roman"/>
      <family val="1"/>
    </font>
    <font>
      <b/>
      <sz val="16"/>
      <name val="Times New Roman"/>
      <family val="1"/>
    </font>
    <font>
      <b/>
      <sz val="18"/>
      <name val="Arial"/>
      <family val="2"/>
    </font>
    <font>
      <b/>
      <sz val="12"/>
      <name val="Arial"/>
      <family val="2"/>
    </font>
    <font>
      <b/>
      <sz val="12"/>
      <color indexed="12"/>
      <name val="Times New Roman"/>
      <family val="1"/>
    </font>
    <font>
      <b/>
      <sz val="10"/>
      <name val="Arial"/>
      <family val="2"/>
    </font>
    <font>
      <b/>
      <sz val="11"/>
      <color theme="1"/>
      <name val="Calibri"/>
      <family val="2"/>
      <charset val="1"/>
      <scheme val="minor"/>
    </font>
    <font>
      <sz val="12"/>
      <color indexed="9"/>
      <name val="Times New Roman"/>
      <family val="1"/>
    </font>
    <font>
      <u/>
      <sz val="12"/>
      <name val="Times New Roman"/>
      <family val="1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indexed="12"/>
      <name val="Times New Roman"/>
      <family val="1"/>
    </font>
    <font>
      <sz val="8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sz val="12"/>
      <color rgb="FF1F1F1F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3" tint="0.79998168889431442"/>
        <bgColor rgb="FFFFFF00"/>
      </patternFill>
    </fill>
    <fill>
      <patternFill patternType="solid">
        <fgColor rgb="FF00FFFF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9" tint="0.59999389629810485"/>
        <bgColor rgb="FFFFFF00"/>
      </patternFill>
    </fill>
    <fill>
      <patternFill patternType="solid">
        <fgColor theme="5" tint="0.59999389629810485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</borders>
  <cellStyleXfs count="6">
    <xf numFmtId="0" fontId="0" fillId="0" borderId="0"/>
    <xf numFmtId="0" fontId="3" fillId="0" borderId="0"/>
    <xf numFmtId="0" fontId="15" fillId="0" borderId="0">
      <alignment vertical="center"/>
    </xf>
    <xf numFmtId="0" fontId="15" fillId="0" borderId="0">
      <alignment vertical="center"/>
    </xf>
    <xf numFmtId="43" fontId="15" fillId="0" borderId="0" applyFont="0" applyFill="0" applyBorder="0" applyAlignment="0" applyProtection="0">
      <alignment vertical="center"/>
    </xf>
    <xf numFmtId="0" fontId="1" fillId="0" borderId="0"/>
  </cellStyleXfs>
  <cellXfs count="678">
    <xf numFmtId="0" fontId="0" fillId="0" borderId="0" xfId="0"/>
    <xf numFmtId="0" fontId="3" fillId="0" borderId="1" xfId="1" applyBorder="1"/>
    <xf numFmtId="0" fontId="3" fillId="0" borderId="2" xfId="1" applyBorder="1"/>
    <xf numFmtId="0" fontId="3" fillId="0" borderId="3" xfId="1" applyBorder="1"/>
    <xf numFmtId="0" fontId="3" fillId="0" borderId="0" xfId="1"/>
    <xf numFmtId="0" fontId="3" fillId="0" borderId="4" xfId="1" applyBorder="1"/>
    <xf numFmtId="0" fontId="3" fillId="0" borderId="5" xfId="1" applyBorder="1"/>
    <xf numFmtId="0" fontId="3" fillId="0" borderId="6" xfId="1" applyBorder="1"/>
    <xf numFmtId="0" fontId="3" fillId="0" borderId="7" xfId="1" applyBorder="1"/>
    <xf numFmtId="0" fontId="3" fillId="0" borderId="8" xfId="1" applyBorder="1"/>
    <xf numFmtId="0" fontId="6" fillId="0" borderId="0" xfId="1" applyFont="1" applyAlignment="1">
      <alignment vertical="center"/>
    </xf>
    <xf numFmtId="0" fontId="7" fillId="0" borderId="4" xfId="1" applyFont="1" applyBorder="1" applyAlignment="1">
      <alignment horizontal="left" indent="4"/>
    </xf>
    <xf numFmtId="0" fontId="7" fillId="0" borderId="0" xfId="1" applyFont="1"/>
    <xf numFmtId="0" fontId="7" fillId="0" borderId="5" xfId="1" applyFont="1" applyBorder="1"/>
    <xf numFmtId="0" fontId="7" fillId="0" borderId="4" xfId="1" applyFont="1" applyBorder="1"/>
    <xf numFmtId="0" fontId="8" fillId="0" borderId="9" xfId="1" applyFont="1" applyBorder="1" applyAlignment="1">
      <alignment vertical="center"/>
    </xf>
    <xf numFmtId="0" fontId="8" fillId="0" borderId="10" xfId="1" applyFont="1" applyBorder="1" applyAlignment="1">
      <alignment vertical="center"/>
    </xf>
    <xf numFmtId="0" fontId="8" fillId="0" borderId="0" xfId="1" applyFont="1" applyAlignment="1">
      <alignment vertical="center"/>
    </xf>
    <xf numFmtId="0" fontId="7" fillId="0" borderId="13" xfId="1" applyFont="1" applyBorder="1" applyAlignment="1">
      <alignment vertical="center"/>
    </xf>
    <xf numFmtId="0" fontId="7" fillId="0" borderId="14" xfId="1" applyFont="1" applyBorder="1" applyAlignment="1">
      <alignment horizontal="left" vertical="center"/>
    </xf>
    <xf numFmtId="0" fontId="7" fillId="0" borderId="14" xfId="1" applyFont="1" applyBorder="1" applyAlignment="1">
      <alignment vertical="center"/>
    </xf>
    <xf numFmtId="0" fontId="7" fillId="0" borderId="0" xfId="1" applyFont="1" applyAlignment="1">
      <alignment vertical="center"/>
    </xf>
    <xf numFmtId="0" fontId="7" fillId="0" borderId="17" xfId="1" applyFont="1" applyBorder="1" applyAlignment="1">
      <alignment vertical="center"/>
    </xf>
    <xf numFmtId="0" fontId="7" fillId="0" borderId="18" xfId="1" applyFont="1" applyBorder="1" applyAlignment="1">
      <alignment horizontal="left" vertical="center"/>
    </xf>
    <xf numFmtId="0" fontId="7" fillId="0" borderId="18" xfId="1" applyFont="1" applyBorder="1" applyAlignment="1">
      <alignment vertical="center"/>
    </xf>
    <xf numFmtId="0" fontId="7" fillId="0" borderId="0" xfId="1" applyFont="1" applyAlignment="1">
      <alignment horizontal="left" indent="1"/>
    </xf>
    <xf numFmtId="0" fontId="7" fillId="0" borderId="5" xfId="1" applyFont="1" applyBorder="1" applyAlignment="1">
      <alignment horizontal="left" indent="1"/>
    </xf>
    <xf numFmtId="0" fontId="7" fillId="0" borderId="6" xfId="1" applyFont="1" applyBorder="1"/>
    <xf numFmtId="0" fontId="7" fillId="0" borderId="7" xfId="1" applyFont="1" applyBorder="1"/>
    <xf numFmtId="0" fontId="7" fillId="0" borderId="7" xfId="1" applyFont="1" applyBorder="1" applyAlignment="1">
      <alignment horizontal="left" indent="1"/>
    </xf>
    <xf numFmtId="0" fontId="7" fillId="0" borderId="8" xfId="1" applyFont="1" applyBorder="1" applyAlignment="1">
      <alignment horizontal="left" indent="1"/>
    </xf>
    <xf numFmtId="0" fontId="7" fillId="0" borderId="4" xfId="1" applyFont="1" applyBorder="1" applyAlignment="1">
      <alignment horizontal="left" indent="3"/>
    </xf>
    <xf numFmtId="0" fontId="8" fillId="0" borderId="4" xfId="1" applyFont="1" applyBorder="1" applyAlignment="1">
      <alignment vertical="center"/>
    </xf>
    <xf numFmtId="0" fontId="7" fillId="0" borderId="4" xfId="1" applyFont="1" applyBorder="1" applyAlignment="1">
      <alignment vertical="center"/>
    </xf>
    <xf numFmtId="0" fontId="7" fillId="0" borderId="0" xfId="1" applyFont="1" applyAlignment="1">
      <alignment horizontal="left" vertical="center"/>
    </xf>
    <xf numFmtId="0" fontId="7" fillId="0" borderId="0" xfId="1" applyFont="1" applyAlignment="1">
      <alignment horizontal="left" vertical="center" wrapText="1"/>
    </xf>
    <xf numFmtId="0" fontId="7" fillId="0" borderId="5" xfId="1" applyFont="1" applyBorder="1" applyAlignment="1">
      <alignment horizontal="left" vertical="center" wrapText="1"/>
    </xf>
    <xf numFmtId="0" fontId="7" fillId="0" borderId="21" xfId="1" applyFont="1" applyBorder="1" applyAlignment="1">
      <alignment horizontal="center" vertical="center"/>
    </xf>
    <xf numFmtId="0" fontId="7" fillId="0" borderId="22" xfId="1" applyFont="1" applyBorder="1" applyAlignment="1">
      <alignment horizontal="center" vertical="center"/>
    </xf>
    <xf numFmtId="0" fontId="7" fillId="0" borderId="22" xfId="1" applyFont="1" applyBorder="1" applyAlignment="1">
      <alignment horizontal="center" vertical="center" wrapText="1"/>
    </xf>
    <xf numFmtId="0" fontId="7" fillId="0" borderId="21" xfId="1" applyFont="1" applyBorder="1" applyAlignment="1">
      <alignment vertical="center"/>
    </xf>
    <xf numFmtId="0" fontId="9" fillId="0" borderId="22" xfId="1" applyFont="1" applyBorder="1" applyAlignment="1">
      <alignment horizontal="center" vertical="center"/>
    </xf>
    <xf numFmtId="0" fontId="10" fillId="0" borderId="18" xfId="0" applyFont="1" applyBorder="1" applyAlignment="1">
      <alignment vertical="center"/>
    </xf>
    <xf numFmtId="0" fontId="9" fillId="0" borderId="22" xfId="1" applyFont="1" applyBorder="1" applyAlignment="1">
      <alignment horizontal="left" vertical="center" wrapText="1"/>
    </xf>
    <xf numFmtId="0" fontId="9" fillId="0" borderId="22" xfId="1" applyFont="1" applyBorder="1" applyAlignment="1">
      <alignment vertical="center" wrapText="1"/>
    </xf>
    <xf numFmtId="0" fontId="7" fillId="0" borderId="0" xfId="1" applyFont="1" applyAlignment="1">
      <alignment vertical="center" wrapText="1"/>
    </xf>
    <xf numFmtId="0" fontId="7" fillId="0" borderId="5" xfId="1" applyFont="1" applyBorder="1" applyAlignment="1">
      <alignment vertical="center" wrapText="1"/>
    </xf>
    <xf numFmtId="0" fontId="3" fillId="0" borderId="24" xfId="1" applyBorder="1"/>
    <xf numFmtId="0" fontId="3" fillId="0" borderId="25" xfId="1" applyBorder="1"/>
    <xf numFmtId="0" fontId="11" fillId="0" borderId="26" xfId="1" applyFont="1" applyBorder="1" applyAlignment="1">
      <alignment vertical="center" wrapText="1"/>
    </xf>
    <xf numFmtId="0" fontId="3" fillId="0" borderId="27" xfId="1" applyBorder="1"/>
    <xf numFmtId="0" fontId="11" fillId="0" borderId="28" xfId="1" applyFont="1" applyBorder="1" applyAlignment="1">
      <alignment vertical="center" wrapText="1"/>
    </xf>
    <xf numFmtId="0" fontId="3" fillId="0" borderId="29" xfId="1" applyBorder="1"/>
    <xf numFmtId="0" fontId="3" fillId="0" borderId="30" xfId="1" applyBorder="1"/>
    <xf numFmtId="0" fontId="11" fillId="0" borderId="31" xfId="1" applyFont="1" applyBorder="1" applyAlignment="1">
      <alignment vertical="center" wrapText="1"/>
    </xf>
    <xf numFmtId="0" fontId="9" fillId="0" borderId="27" xfId="1" applyFont="1" applyBorder="1"/>
    <xf numFmtId="0" fontId="9" fillId="0" borderId="0" xfId="1" applyFont="1"/>
    <xf numFmtId="0" fontId="9" fillId="0" borderId="28" xfId="1" applyFont="1" applyBorder="1"/>
    <xf numFmtId="0" fontId="9" fillId="0" borderId="27" xfId="1" applyFont="1" applyBorder="1" applyAlignment="1">
      <alignment horizontal="left" indent="2"/>
    </xf>
    <xf numFmtId="0" fontId="9" fillId="0" borderId="24" xfId="1" applyFont="1" applyBorder="1"/>
    <xf numFmtId="0" fontId="9" fillId="0" borderId="25" xfId="1" applyFont="1" applyBorder="1"/>
    <xf numFmtId="0" fontId="9" fillId="0" borderId="26" xfId="1" applyFont="1" applyBorder="1"/>
    <xf numFmtId="0" fontId="9" fillId="0" borderId="0" xfId="1" applyFont="1" applyAlignment="1">
      <alignment vertical="center"/>
    </xf>
    <xf numFmtId="0" fontId="9" fillId="0" borderId="29" xfId="1" applyFont="1" applyBorder="1"/>
    <xf numFmtId="0" fontId="9" fillId="0" borderId="30" xfId="1" applyFont="1" applyBorder="1"/>
    <xf numFmtId="0" fontId="9" fillId="0" borderId="31" xfId="1" applyFont="1" applyBorder="1"/>
    <xf numFmtId="0" fontId="12" fillId="0" borderId="22" xfId="1" applyFont="1" applyBorder="1" applyAlignment="1">
      <alignment horizontal="center" vertical="center"/>
    </xf>
    <xf numFmtId="0" fontId="13" fillId="0" borderId="22" xfId="1" applyFont="1" applyBorder="1" applyAlignment="1">
      <alignment horizontal="center"/>
    </xf>
    <xf numFmtId="49" fontId="14" fillId="0" borderId="32" xfId="1" applyNumberFormat="1" applyFont="1" applyBorder="1" applyAlignment="1">
      <alignment horizontal="center"/>
    </xf>
    <xf numFmtId="49" fontId="14" fillId="0" borderId="33" xfId="1" applyNumberFormat="1" applyFont="1" applyBorder="1" applyAlignment="1">
      <alignment horizontal="center"/>
    </xf>
    <xf numFmtId="49" fontId="14" fillId="0" borderId="34" xfId="1" applyNumberFormat="1" applyFont="1" applyBorder="1" applyAlignment="1">
      <alignment horizontal="center"/>
    </xf>
    <xf numFmtId="0" fontId="14" fillId="0" borderId="33" xfId="1" applyFont="1" applyBorder="1" applyAlignment="1">
      <alignment horizontal="left" indent="1"/>
    </xf>
    <xf numFmtId="0" fontId="13" fillId="0" borderId="33" xfId="1" applyFont="1" applyBorder="1"/>
    <xf numFmtId="0" fontId="13" fillId="0" borderId="34" xfId="1" applyFont="1" applyBorder="1"/>
    <xf numFmtId="4" fontId="13" fillId="0" borderId="34" xfId="1" applyNumberFormat="1" applyFont="1" applyBorder="1"/>
    <xf numFmtId="0" fontId="13" fillId="0" borderId="0" xfId="1" applyFont="1"/>
    <xf numFmtId="49" fontId="10" fillId="0" borderId="35" xfId="1" applyNumberFormat="1" applyFont="1" applyBorder="1" applyAlignment="1">
      <alignment horizontal="center"/>
    </xf>
    <xf numFmtId="49" fontId="10" fillId="0" borderId="36" xfId="1" applyNumberFormat="1" applyFont="1" applyBorder="1" applyAlignment="1">
      <alignment horizontal="center"/>
    </xf>
    <xf numFmtId="49" fontId="10" fillId="0" borderId="37" xfId="1" applyNumberFormat="1" applyFont="1" applyBorder="1" applyAlignment="1">
      <alignment horizontal="center"/>
    </xf>
    <xf numFmtId="0" fontId="10" fillId="0" borderId="36" xfId="1" applyFont="1" applyBorder="1" applyAlignment="1">
      <alignment horizontal="left" indent="1"/>
    </xf>
    <xf numFmtId="0" fontId="9" fillId="0" borderId="36" xfId="1" applyFont="1" applyBorder="1"/>
    <xf numFmtId="0" fontId="9" fillId="0" borderId="37" xfId="1" applyFont="1" applyBorder="1"/>
    <xf numFmtId="4" fontId="9" fillId="0" borderId="37" xfId="1" applyNumberFormat="1" applyFont="1" applyBorder="1"/>
    <xf numFmtId="49" fontId="10" fillId="0" borderId="35" xfId="1" applyNumberFormat="1" applyFont="1" applyBorder="1" applyAlignment="1">
      <alignment horizontal="center" vertical="center"/>
    </xf>
    <xf numFmtId="49" fontId="10" fillId="0" borderId="36" xfId="1" applyNumberFormat="1" applyFont="1" applyBorder="1" applyAlignment="1">
      <alignment horizontal="center" vertical="center"/>
    </xf>
    <xf numFmtId="49" fontId="10" fillId="0" borderId="37" xfId="1" applyNumberFormat="1" applyFont="1" applyBorder="1" applyAlignment="1">
      <alignment horizontal="center" vertical="center"/>
    </xf>
    <xf numFmtId="0" fontId="10" fillId="0" borderId="36" xfId="1" applyFont="1" applyBorder="1" applyAlignment="1">
      <alignment horizontal="left" vertical="center" indent="1"/>
    </xf>
    <xf numFmtId="49" fontId="14" fillId="2" borderId="35" xfId="1" applyNumberFormat="1" applyFont="1" applyFill="1" applyBorder="1" applyAlignment="1">
      <alignment horizontal="center"/>
    </xf>
    <xf numFmtId="49" fontId="14" fillId="2" borderId="36" xfId="1" applyNumberFormat="1" applyFont="1" applyFill="1" applyBorder="1" applyAlignment="1">
      <alignment horizontal="center"/>
    </xf>
    <xf numFmtId="49" fontId="14" fillId="2" borderId="37" xfId="1" applyNumberFormat="1" applyFont="1" applyFill="1" applyBorder="1" applyAlignment="1">
      <alignment horizontal="center"/>
    </xf>
    <xf numFmtId="0" fontId="14" fillId="0" borderId="36" xfId="1" applyFont="1" applyBorder="1" applyAlignment="1">
      <alignment horizontal="left" vertical="center" indent="1"/>
    </xf>
    <xf numFmtId="0" fontId="13" fillId="0" borderId="36" xfId="1" applyFont="1" applyBorder="1"/>
    <xf numFmtId="0" fontId="13" fillId="0" borderId="37" xfId="1" applyFont="1" applyBorder="1"/>
    <xf numFmtId="4" fontId="13" fillId="0" borderId="37" xfId="1" applyNumberFormat="1" applyFont="1" applyBorder="1"/>
    <xf numFmtId="49" fontId="14" fillId="0" borderId="36" xfId="1" applyNumberFormat="1" applyFont="1" applyBorder="1" applyAlignment="1">
      <alignment horizontal="center"/>
    </xf>
    <xf numFmtId="49" fontId="14" fillId="0" borderId="37" xfId="1" applyNumberFormat="1" applyFont="1" applyBorder="1" applyAlignment="1">
      <alignment horizontal="center"/>
    </xf>
    <xf numFmtId="0" fontId="14" fillId="0" borderId="36" xfId="1" applyFont="1" applyBorder="1" applyAlignment="1">
      <alignment horizontal="left" indent="1"/>
    </xf>
    <xf numFmtId="49" fontId="10" fillId="2" borderId="35" xfId="1" applyNumberFormat="1" applyFont="1" applyFill="1" applyBorder="1" applyAlignment="1">
      <alignment horizontal="center"/>
    </xf>
    <xf numFmtId="49" fontId="14" fillId="0" borderId="35" xfId="1" applyNumberFormat="1" applyFont="1" applyBorder="1" applyAlignment="1">
      <alignment horizontal="center"/>
    </xf>
    <xf numFmtId="49" fontId="10" fillId="0" borderId="38" xfId="1" applyNumberFormat="1" applyFont="1" applyBorder="1" applyAlignment="1">
      <alignment horizontal="center"/>
    </xf>
    <xf numFmtId="49" fontId="10" fillId="0" borderId="39" xfId="1" applyNumberFormat="1" applyFont="1" applyBorder="1" applyAlignment="1">
      <alignment horizontal="center"/>
    </xf>
    <xf numFmtId="49" fontId="10" fillId="0" borderId="40" xfId="1" applyNumberFormat="1" applyFont="1" applyBorder="1" applyAlignment="1">
      <alignment horizontal="center"/>
    </xf>
    <xf numFmtId="0" fontId="10" fillId="0" borderId="39" xfId="1" applyFont="1" applyBorder="1" applyAlignment="1">
      <alignment horizontal="left" indent="1"/>
    </xf>
    <xf numFmtId="0" fontId="9" fillId="0" borderId="39" xfId="1" applyFont="1" applyBorder="1"/>
    <xf numFmtId="0" fontId="9" fillId="0" borderId="40" xfId="1" applyFont="1" applyBorder="1"/>
    <xf numFmtId="4" fontId="9" fillId="0" borderId="40" xfId="1" applyNumberFormat="1" applyFont="1" applyBorder="1"/>
    <xf numFmtId="49" fontId="14" fillId="0" borderId="19" xfId="1" applyNumberFormat="1" applyFont="1" applyBorder="1" applyAlignment="1">
      <alignment horizontal="center"/>
    </xf>
    <xf numFmtId="49" fontId="14" fillId="0" borderId="18" xfId="1" applyNumberFormat="1" applyFont="1" applyBorder="1" applyAlignment="1">
      <alignment horizontal="center"/>
    </xf>
    <xf numFmtId="49" fontId="14" fillId="0" borderId="23" xfId="1" applyNumberFormat="1" applyFont="1" applyBorder="1" applyAlignment="1">
      <alignment horizontal="center"/>
    </xf>
    <xf numFmtId="4" fontId="13" fillId="0" borderId="23" xfId="1" applyNumberFormat="1" applyFont="1" applyBorder="1"/>
    <xf numFmtId="49" fontId="10" fillId="0" borderId="27" xfId="1" applyNumberFormat="1" applyFont="1" applyBorder="1" applyAlignment="1">
      <alignment horizontal="center"/>
    </xf>
    <xf numFmtId="49" fontId="10" fillId="0" borderId="0" xfId="1" applyNumberFormat="1" applyFont="1" applyAlignment="1">
      <alignment horizontal="center"/>
    </xf>
    <xf numFmtId="0" fontId="10" fillId="0" borderId="0" xfId="1" applyFont="1" applyAlignment="1">
      <alignment horizontal="left" indent="1"/>
    </xf>
    <xf numFmtId="0" fontId="10" fillId="2" borderId="0" xfId="1" applyFont="1" applyFill="1" applyAlignment="1">
      <alignment horizontal="left"/>
    </xf>
    <xf numFmtId="0" fontId="10" fillId="2" borderId="0" xfId="1" applyFont="1" applyFill="1"/>
    <xf numFmtId="0" fontId="11" fillId="0" borderId="0" xfId="1" applyFont="1" applyAlignment="1">
      <alignment vertical="center" wrapText="1"/>
    </xf>
    <xf numFmtId="0" fontId="12" fillId="0" borderId="41" xfId="1" applyFont="1" applyBorder="1" applyAlignment="1">
      <alignment horizontal="center" vertical="center" wrapText="1"/>
    </xf>
    <xf numFmtId="0" fontId="3" fillId="0" borderId="0" xfId="1" applyAlignment="1">
      <alignment vertical="center"/>
    </xf>
    <xf numFmtId="0" fontId="13" fillId="0" borderId="22" xfId="1" applyFont="1" applyBorder="1" applyAlignment="1">
      <alignment horizontal="center" vertical="center"/>
    </xf>
    <xf numFmtId="0" fontId="13" fillId="0" borderId="22" xfId="1" applyFont="1" applyBorder="1" applyAlignment="1">
      <alignment horizontal="center" vertical="center" wrapText="1"/>
    </xf>
    <xf numFmtId="41" fontId="13" fillId="0" borderId="42" xfId="1" applyNumberFormat="1" applyFont="1" applyBorder="1" applyAlignment="1">
      <alignment horizontal="center"/>
    </xf>
    <xf numFmtId="41" fontId="13" fillId="0" borderId="42" xfId="1" applyNumberFormat="1" applyFont="1" applyBorder="1" applyAlignment="1">
      <alignment horizontal="right"/>
    </xf>
    <xf numFmtId="41" fontId="13" fillId="0" borderId="34" xfId="1" applyNumberFormat="1" applyFont="1" applyBorder="1" applyAlignment="1">
      <alignment horizontal="right"/>
    </xf>
    <xf numFmtId="41" fontId="13" fillId="0" borderId="43" xfId="1" applyNumberFormat="1" applyFont="1" applyBorder="1" applyAlignment="1">
      <alignment horizontal="center"/>
    </xf>
    <xf numFmtId="41" fontId="13" fillId="0" borderId="43" xfId="1" applyNumberFormat="1" applyFont="1" applyBorder="1" applyAlignment="1">
      <alignment horizontal="right"/>
    </xf>
    <xf numFmtId="41" fontId="9" fillId="0" borderId="37" xfId="1" applyNumberFormat="1" applyFont="1" applyBorder="1" applyAlignment="1">
      <alignment horizontal="right"/>
    </xf>
    <xf numFmtId="3" fontId="13" fillId="0" borderId="0" xfId="1" applyNumberFormat="1" applyFont="1"/>
    <xf numFmtId="0" fontId="10" fillId="0" borderId="36" xfId="1" applyFont="1" applyBorder="1" applyAlignment="1">
      <alignment horizontal="left" indent="2"/>
    </xf>
    <xf numFmtId="41" fontId="9" fillId="0" borderId="43" xfId="1" applyNumberFormat="1" applyFont="1" applyBorder="1" applyAlignment="1">
      <alignment horizontal="center"/>
    </xf>
    <xf numFmtId="41" fontId="9" fillId="0" borderId="43" xfId="1" applyNumberFormat="1" applyFont="1" applyBorder="1" applyAlignment="1">
      <alignment horizontal="right"/>
    </xf>
    <xf numFmtId="41" fontId="13" fillId="0" borderId="37" xfId="1" applyNumberFormat="1" applyFont="1" applyBorder="1" applyAlignment="1">
      <alignment horizontal="right"/>
    </xf>
    <xf numFmtId="41" fontId="9" fillId="0" borderId="0" xfId="1" applyNumberFormat="1" applyFont="1"/>
    <xf numFmtId="49" fontId="14" fillId="0" borderId="44" xfId="1" applyNumberFormat="1" applyFont="1" applyBorder="1" applyAlignment="1">
      <alignment horizontal="center"/>
    </xf>
    <xf numFmtId="49" fontId="14" fillId="0" borderId="45" xfId="1" applyNumberFormat="1" applyFont="1" applyBorder="1" applyAlignment="1">
      <alignment horizontal="center"/>
    </xf>
    <xf numFmtId="49" fontId="14" fillId="0" borderId="46" xfId="1" applyNumberFormat="1" applyFont="1" applyBorder="1" applyAlignment="1">
      <alignment horizontal="center"/>
    </xf>
    <xf numFmtId="0" fontId="14" fillId="0" borderId="45" xfId="1" applyFont="1" applyBorder="1" applyAlignment="1">
      <alignment horizontal="left" vertical="center" indent="1"/>
    </xf>
    <xf numFmtId="0" fontId="13" fillId="0" borderId="45" xfId="1" applyFont="1" applyBorder="1"/>
    <xf numFmtId="41" fontId="13" fillId="0" borderId="47" xfId="1" applyNumberFormat="1" applyFont="1" applyBorder="1" applyAlignment="1">
      <alignment horizontal="center"/>
    </xf>
    <xf numFmtId="41" fontId="13" fillId="0" borderId="47" xfId="1" applyNumberFormat="1" applyFont="1" applyBorder="1" applyAlignment="1">
      <alignment horizontal="right"/>
    </xf>
    <xf numFmtId="41" fontId="13" fillId="0" borderId="46" xfId="1" applyNumberFormat="1" applyFont="1" applyBorder="1" applyAlignment="1">
      <alignment horizontal="right"/>
    </xf>
    <xf numFmtId="0" fontId="14" fillId="0" borderId="18" xfId="1" applyFont="1" applyBorder="1" applyAlignment="1">
      <alignment horizontal="left" vertical="center" indent="1"/>
    </xf>
    <xf numFmtId="0" fontId="13" fillId="0" borderId="18" xfId="1" applyFont="1" applyBorder="1"/>
    <xf numFmtId="41" fontId="13" fillId="0" borderId="22" xfId="1" applyNumberFormat="1" applyFont="1" applyBorder="1" applyAlignment="1">
      <alignment horizontal="center"/>
    </xf>
    <xf numFmtId="41" fontId="13" fillId="0" borderId="22" xfId="1" applyNumberFormat="1" applyFont="1" applyBorder="1" applyAlignment="1">
      <alignment horizontal="right"/>
    </xf>
    <xf numFmtId="41" fontId="13" fillId="0" borderId="23" xfId="1" applyNumberFormat="1" applyFont="1" applyBorder="1" applyAlignment="1">
      <alignment horizontal="right"/>
    </xf>
    <xf numFmtId="49" fontId="10" fillId="0" borderId="29" xfId="1" applyNumberFormat="1" applyFont="1" applyBorder="1" applyAlignment="1">
      <alignment horizontal="center"/>
    </xf>
    <xf numFmtId="49" fontId="10" fillId="0" borderId="30" xfId="1" applyNumberFormat="1" applyFont="1" applyBorder="1" applyAlignment="1">
      <alignment horizontal="center"/>
    </xf>
    <xf numFmtId="0" fontId="10" fillId="0" borderId="30" xfId="1" applyFont="1" applyBorder="1" applyAlignment="1">
      <alignment horizontal="left" indent="1"/>
    </xf>
    <xf numFmtId="0" fontId="14" fillId="0" borderId="35" xfId="1" applyFont="1" applyBorder="1" applyAlignment="1">
      <alignment horizontal="left" indent="1"/>
    </xf>
    <xf numFmtId="0" fontId="14" fillId="2" borderId="35" xfId="2" applyFont="1" applyFill="1" applyBorder="1" applyAlignment="1">
      <alignment horizontal="left" indent="1"/>
    </xf>
    <xf numFmtId="0" fontId="10" fillId="2" borderId="35" xfId="2" applyFont="1" applyFill="1" applyBorder="1" applyAlignment="1">
      <alignment horizontal="left" indent="1"/>
    </xf>
    <xf numFmtId="4" fontId="9" fillId="0" borderId="37" xfId="1" applyNumberFormat="1" applyFont="1" applyBorder="1" applyAlignment="1">
      <alignment vertical="center"/>
    </xf>
    <xf numFmtId="4" fontId="13" fillId="0" borderId="37" xfId="1" applyNumberFormat="1" applyFont="1" applyBorder="1" applyAlignment="1">
      <alignment vertical="center"/>
    </xf>
    <xf numFmtId="49" fontId="10" fillId="0" borderId="35" xfId="1" quotePrefix="1" applyNumberFormat="1" applyFont="1" applyBorder="1" applyAlignment="1">
      <alignment horizontal="center"/>
    </xf>
    <xf numFmtId="49" fontId="10" fillId="0" borderId="36" xfId="1" quotePrefix="1" applyNumberFormat="1" applyFont="1" applyBorder="1" applyAlignment="1">
      <alignment horizontal="center"/>
    </xf>
    <xf numFmtId="49" fontId="10" fillId="0" borderId="44" xfId="1" quotePrefix="1" applyNumberFormat="1" applyFont="1" applyBorder="1" applyAlignment="1">
      <alignment horizontal="center"/>
    </xf>
    <xf numFmtId="49" fontId="10" fillId="0" borderId="45" xfId="1" quotePrefix="1" applyNumberFormat="1" applyFont="1" applyBorder="1" applyAlignment="1">
      <alignment horizontal="center"/>
    </xf>
    <xf numFmtId="49" fontId="10" fillId="0" borderId="46" xfId="1" applyNumberFormat="1" applyFont="1" applyBorder="1" applyAlignment="1">
      <alignment horizontal="center"/>
    </xf>
    <xf numFmtId="0" fontId="9" fillId="0" borderId="45" xfId="1" applyFont="1" applyBorder="1"/>
    <xf numFmtId="0" fontId="9" fillId="0" borderId="46" xfId="1" applyFont="1" applyBorder="1"/>
    <xf numFmtId="49" fontId="10" fillId="0" borderId="44" xfId="1" applyNumberFormat="1" applyFont="1" applyBorder="1" applyAlignment="1">
      <alignment horizontal="center"/>
    </xf>
    <xf numFmtId="49" fontId="10" fillId="0" borderId="45" xfId="1" applyNumberFormat="1" applyFont="1" applyBorder="1" applyAlignment="1">
      <alignment horizontal="center"/>
    </xf>
    <xf numFmtId="0" fontId="10" fillId="2" borderId="44" xfId="2" applyFont="1" applyFill="1" applyBorder="1" applyAlignment="1">
      <alignment horizontal="left" indent="1"/>
    </xf>
    <xf numFmtId="0" fontId="14" fillId="0" borderId="19" xfId="1" applyFont="1" applyBorder="1" applyAlignment="1">
      <alignment horizontal="left" vertical="center" indent="1"/>
    </xf>
    <xf numFmtId="0" fontId="13" fillId="0" borderId="23" xfId="1" applyFont="1" applyBorder="1"/>
    <xf numFmtId="41" fontId="13" fillId="0" borderId="37" xfId="1" applyNumberFormat="1" applyFont="1" applyBorder="1"/>
    <xf numFmtId="41" fontId="9" fillId="0" borderId="37" xfId="1" applyNumberFormat="1" applyFont="1" applyBorder="1" applyAlignment="1">
      <alignment vertical="center"/>
    </xf>
    <xf numFmtId="41" fontId="9" fillId="0" borderId="46" xfId="1" applyNumberFormat="1" applyFont="1" applyBorder="1" applyAlignment="1">
      <alignment vertical="center"/>
    </xf>
    <xf numFmtId="41" fontId="13" fillId="0" borderId="23" xfId="1" applyNumberFormat="1" applyFont="1" applyBorder="1"/>
    <xf numFmtId="0" fontId="16" fillId="2" borderId="1" xfId="3" applyFont="1" applyFill="1" applyBorder="1" applyAlignment="1">
      <alignment horizontal="center"/>
    </xf>
    <xf numFmtId="0" fontId="16" fillId="2" borderId="2" xfId="3" applyFont="1" applyFill="1" applyBorder="1" applyAlignment="1">
      <alignment horizontal="center"/>
    </xf>
    <xf numFmtId="0" fontId="17" fillId="2" borderId="2" xfId="3" applyFont="1" applyFill="1" applyBorder="1">
      <alignment vertical="center"/>
    </xf>
    <xf numFmtId="0" fontId="17" fillId="2" borderId="2" xfId="3" applyFont="1" applyFill="1" applyBorder="1" applyAlignment="1">
      <alignment horizontal="center" vertical="center"/>
    </xf>
    <xf numFmtId="0" fontId="17" fillId="2" borderId="48" xfId="3" applyFont="1" applyFill="1" applyBorder="1">
      <alignment vertical="center"/>
    </xf>
    <xf numFmtId="0" fontId="18" fillId="2" borderId="3" xfId="3" applyFont="1" applyFill="1" applyBorder="1">
      <alignment vertical="center"/>
    </xf>
    <xf numFmtId="0" fontId="15" fillId="3" borderId="0" xfId="3" applyFill="1" applyAlignment="1"/>
    <xf numFmtId="0" fontId="15" fillId="0" borderId="0" xfId="3" applyAlignment="1"/>
    <xf numFmtId="0" fontId="19" fillId="2" borderId="4" xfId="3" applyFont="1" applyFill="1" applyBorder="1" applyAlignment="1">
      <alignment horizontal="center"/>
    </xf>
    <xf numFmtId="0" fontId="19" fillId="2" borderId="0" xfId="3" applyFont="1" applyFill="1" applyAlignment="1">
      <alignment horizontal="center"/>
    </xf>
    <xf numFmtId="0" fontId="17" fillId="2" borderId="0" xfId="3" applyFont="1" applyFill="1">
      <alignment vertical="center"/>
    </xf>
    <xf numFmtId="0" fontId="17" fillId="2" borderId="0" xfId="3" applyFont="1" applyFill="1" applyAlignment="1">
      <alignment horizontal="center" vertical="center"/>
    </xf>
    <xf numFmtId="0" fontId="17" fillId="2" borderId="27" xfId="3" applyFont="1" applyFill="1" applyBorder="1">
      <alignment vertical="center"/>
    </xf>
    <xf numFmtId="0" fontId="18" fillId="2" borderId="5" xfId="3" applyFont="1" applyFill="1" applyBorder="1">
      <alignment vertical="center"/>
    </xf>
    <xf numFmtId="0" fontId="19" fillId="2" borderId="4" xfId="3" applyFont="1" applyFill="1" applyBorder="1" applyAlignment="1">
      <alignment horizontal="center" vertical="top"/>
    </xf>
    <xf numFmtId="0" fontId="19" fillId="2" borderId="0" xfId="3" applyFont="1" applyFill="1" applyAlignment="1">
      <alignment horizontal="center" vertical="top"/>
    </xf>
    <xf numFmtId="0" fontId="17" fillId="2" borderId="0" xfId="3" applyFont="1" applyFill="1" applyAlignment="1">
      <alignment vertical="top"/>
    </xf>
    <xf numFmtId="0" fontId="17" fillId="2" borderId="0" xfId="3" applyFont="1" applyFill="1" applyAlignment="1">
      <alignment horizontal="center" vertical="top"/>
    </xf>
    <xf numFmtId="0" fontId="16" fillId="2" borderId="6" xfId="3" applyFont="1" applyFill="1" applyBorder="1" applyAlignment="1">
      <alignment horizontal="center"/>
    </xf>
    <xf numFmtId="0" fontId="16" fillId="2" borderId="7" xfId="3" applyFont="1" applyFill="1" applyBorder="1" applyAlignment="1">
      <alignment horizontal="center"/>
    </xf>
    <xf numFmtId="0" fontId="17" fillId="2" borderId="7" xfId="3" applyFont="1" applyFill="1" applyBorder="1" applyAlignment="1">
      <alignment vertical="top"/>
    </xf>
    <xf numFmtId="0" fontId="17" fillId="2" borderId="7" xfId="3" applyFont="1" applyFill="1" applyBorder="1" applyAlignment="1">
      <alignment horizontal="center" vertical="top"/>
    </xf>
    <xf numFmtId="0" fontId="17" fillId="2" borderId="49" xfId="3" applyFont="1" applyFill="1" applyBorder="1" applyAlignment="1">
      <alignment horizontal="center" vertical="top"/>
    </xf>
    <xf numFmtId="0" fontId="20" fillId="2" borderId="7" xfId="3" applyFont="1" applyFill="1" applyBorder="1" applyAlignment="1">
      <alignment horizontal="center" vertical="top"/>
    </xf>
    <xf numFmtId="0" fontId="18" fillId="2" borderId="8" xfId="3" applyFont="1" applyFill="1" applyBorder="1">
      <alignment vertical="center"/>
    </xf>
    <xf numFmtId="0" fontId="10" fillId="2" borderId="52" xfId="3" applyFont="1" applyFill="1" applyBorder="1" applyAlignment="1">
      <alignment horizontal="left" vertical="center"/>
    </xf>
    <xf numFmtId="0" fontId="10" fillId="2" borderId="25" xfId="3" applyFont="1" applyFill="1" applyBorder="1" applyAlignment="1">
      <alignment horizontal="left" vertical="center"/>
    </xf>
    <xf numFmtId="0" fontId="10" fillId="0" borderId="18" xfId="2" applyFont="1" applyBorder="1" applyAlignment="1"/>
    <xf numFmtId="0" fontId="10" fillId="0" borderId="20" xfId="2" applyFont="1" applyBorder="1" applyAlignment="1"/>
    <xf numFmtId="0" fontId="0" fillId="3" borderId="0" xfId="3" applyFont="1" applyFill="1" applyAlignment="1"/>
    <xf numFmtId="0" fontId="0" fillId="0" borderId="0" xfId="3" applyFont="1" applyAlignment="1"/>
    <xf numFmtId="0" fontId="10" fillId="0" borderId="25" xfId="2" applyFont="1" applyBorder="1" applyAlignment="1">
      <alignment horizontal="left"/>
    </xf>
    <xf numFmtId="0" fontId="10" fillId="0" borderId="53" xfId="2" applyFont="1" applyBorder="1" applyAlignment="1">
      <alignment horizontal="left"/>
    </xf>
    <xf numFmtId="0" fontId="10" fillId="2" borderId="17" xfId="3" applyFont="1" applyFill="1" applyBorder="1" applyAlignment="1">
      <alignment horizontal="left" vertical="center"/>
    </xf>
    <xf numFmtId="0" fontId="10" fillId="2" borderId="18" xfId="3" applyFont="1" applyFill="1" applyBorder="1" applyAlignment="1">
      <alignment horizontal="left" vertical="center"/>
    </xf>
    <xf numFmtId="0" fontId="10" fillId="0" borderId="18" xfId="2" applyFont="1" applyBorder="1" applyAlignment="1">
      <alignment horizontal="left"/>
    </xf>
    <xf numFmtId="0" fontId="10" fillId="2" borderId="18" xfId="3" applyFont="1" applyFill="1" applyBorder="1" applyAlignment="1">
      <alignment horizontal="center" vertical="center"/>
    </xf>
    <xf numFmtId="0" fontId="10" fillId="0" borderId="25" xfId="4" applyNumberFormat="1" applyFont="1" applyBorder="1" applyAlignment="1">
      <alignment horizontal="left"/>
    </xf>
    <xf numFmtId="0" fontId="10" fillId="0" borderId="18" xfId="2" applyFont="1" applyBorder="1" applyAlignment="1">
      <alignment horizontal="center"/>
    </xf>
    <xf numFmtId="0" fontId="10" fillId="2" borderId="50" xfId="3" applyFont="1" applyFill="1" applyBorder="1" applyAlignment="1">
      <alignment horizontal="left" vertical="center"/>
    </xf>
    <xf numFmtId="0" fontId="10" fillId="2" borderId="30" xfId="3" applyFont="1" applyFill="1" applyBorder="1" applyAlignment="1">
      <alignment horizontal="left" vertical="center"/>
    </xf>
    <xf numFmtId="0" fontId="10" fillId="2" borderId="30" xfId="3" applyFont="1" applyFill="1" applyBorder="1" applyAlignment="1">
      <alignment horizontal="center" vertical="center"/>
    </xf>
    <xf numFmtId="0" fontId="10" fillId="0" borderId="30" xfId="2" applyFont="1" applyBorder="1" applyAlignment="1"/>
    <xf numFmtId="0" fontId="10" fillId="0" borderId="30" xfId="2" applyFont="1" applyBorder="1" applyAlignment="1">
      <alignment horizontal="center"/>
    </xf>
    <xf numFmtId="0" fontId="10" fillId="0" borderId="51" xfId="2" applyFont="1" applyBorder="1" applyAlignment="1"/>
    <xf numFmtId="39" fontId="10" fillId="0" borderId="25" xfId="2" applyNumberFormat="1" applyFont="1" applyBorder="1" applyAlignment="1">
      <alignment horizontal="left"/>
    </xf>
    <xf numFmtId="9" fontId="10" fillId="0" borderId="19" xfId="2" applyNumberFormat="1" applyFont="1" applyBorder="1" applyAlignment="1"/>
    <xf numFmtId="0" fontId="10" fillId="2" borderId="24" xfId="3" applyFont="1" applyFill="1" applyBorder="1" applyAlignment="1">
      <alignment horizontal="left" vertical="center"/>
    </xf>
    <xf numFmtId="0" fontId="10" fillId="0" borderId="25" xfId="2" applyFont="1" applyBorder="1" applyAlignment="1"/>
    <xf numFmtId="0" fontId="10" fillId="0" borderId="25" xfId="2" applyFont="1" applyBorder="1" applyAlignment="1">
      <alignment horizontal="center"/>
    </xf>
    <xf numFmtId="0" fontId="10" fillId="2" borderId="4" xfId="3" applyFont="1" applyFill="1" applyBorder="1" applyAlignment="1">
      <alignment horizontal="left" vertical="center"/>
    </xf>
    <xf numFmtId="0" fontId="10" fillId="2" borderId="0" xfId="3" applyFont="1" applyFill="1" applyAlignment="1">
      <alignment horizontal="left" vertical="center"/>
    </xf>
    <xf numFmtId="0" fontId="10" fillId="2" borderId="28" xfId="3" applyFont="1" applyFill="1" applyBorder="1" applyAlignment="1">
      <alignment horizontal="left" vertical="center"/>
    </xf>
    <xf numFmtId="0" fontId="10" fillId="2" borderId="27" xfId="3" applyFont="1" applyFill="1" applyBorder="1" applyAlignment="1">
      <alignment horizontal="left" vertical="center"/>
    </xf>
    <xf numFmtId="0" fontId="10" fillId="0" borderId="0" xfId="2" applyFont="1" applyAlignment="1"/>
    <xf numFmtId="0" fontId="10" fillId="0" borderId="0" xfId="2" applyFont="1" applyAlignment="1">
      <alignment horizontal="center"/>
    </xf>
    <xf numFmtId="0" fontId="10" fillId="2" borderId="31" xfId="3" applyFont="1" applyFill="1" applyBorder="1" applyAlignment="1">
      <alignment horizontal="left" vertical="center"/>
    </xf>
    <xf numFmtId="0" fontId="10" fillId="2" borderId="29" xfId="3" applyFont="1" applyFill="1" applyBorder="1" applyAlignment="1">
      <alignment horizontal="left" vertical="center"/>
    </xf>
    <xf numFmtId="3" fontId="10" fillId="0" borderId="18" xfId="2" applyNumberFormat="1" applyFont="1" applyBorder="1" applyAlignment="1">
      <alignment horizontal="left" vertical="center"/>
    </xf>
    <xf numFmtId="3" fontId="10" fillId="0" borderId="20" xfId="2" applyNumberFormat="1" applyFont="1" applyBorder="1" applyAlignment="1">
      <alignment horizontal="left" vertical="center"/>
    </xf>
    <xf numFmtId="0" fontId="10" fillId="2" borderId="19" xfId="3" applyFont="1" applyFill="1" applyBorder="1" applyAlignment="1">
      <alignment horizontal="left" vertical="center"/>
    </xf>
    <xf numFmtId="0" fontId="10" fillId="0" borderId="24" xfId="2" applyFont="1" applyBorder="1" applyAlignment="1">
      <alignment horizontal="left"/>
    </xf>
    <xf numFmtId="0" fontId="10" fillId="0" borderId="19" xfId="2" applyFont="1" applyBorder="1" applyAlignment="1">
      <alignment horizontal="left"/>
    </xf>
    <xf numFmtId="9" fontId="10" fillId="0" borderId="30" xfId="3" applyNumberFormat="1" applyFont="1" applyBorder="1" applyAlignment="1">
      <alignment horizontal="left" vertical="center" wrapText="1" indent="1"/>
    </xf>
    <xf numFmtId="0" fontId="10" fillId="0" borderId="51" xfId="3" applyFont="1" applyBorder="1" applyAlignment="1">
      <alignment horizontal="left" vertical="center" wrapText="1" indent="1"/>
    </xf>
    <xf numFmtId="0" fontId="10" fillId="0" borderId="67" xfId="3" applyFont="1" applyBorder="1" applyAlignment="1">
      <alignment horizontal="center" vertical="center" wrapText="1"/>
    </xf>
    <xf numFmtId="0" fontId="10" fillId="2" borderId="67" xfId="3" applyFont="1" applyFill="1" applyBorder="1" applyAlignment="1">
      <alignment horizontal="center" vertical="center" wrapText="1"/>
    </xf>
    <xf numFmtId="0" fontId="10" fillId="2" borderId="66" xfId="3" applyFont="1" applyFill="1" applyBorder="1" applyAlignment="1">
      <alignment horizontal="center" vertical="center" wrapText="1"/>
    </xf>
    <xf numFmtId="0" fontId="10" fillId="2" borderId="16" xfId="3" applyFont="1" applyFill="1" applyBorder="1" applyAlignment="1">
      <alignment horizontal="center" vertical="center" wrapText="1"/>
    </xf>
    <xf numFmtId="3" fontId="0" fillId="6" borderId="68" xfId="3" applyNumberFormat="1" applyFont="1" applyFill="1" applyBorder="1" applyAlignment="1"/>
    <xf numFmtId="3" fontId="0" fillId="6" borderId="69" xfId="3" applyNumberFormat="1" applyFont="1" applyFill="1" applyBorder="1" applyAlignment="1"/>
    <xf numFmtId="3" fontId="0" fillId="7" borderId="69" xfId="3" applyNumberFormat="1" applyFont="1" applyFill="1" applyBorder="1" applyAlignment="1"/>
    <xf numFmtId="3" fontId="0" fillId="8" borderId="69" xfId="3" applyNumberFormat="1" applyFont="1" applyFill="1" applyBorder="1" applyAlignment="1"/>
    <xf numFmtId="3" fontId="0" fillId="8" borderId="70" xfId="3" applyNumberFormat="1" applyFont="1" applyFill="1" applyBorder="1" applyAlignment="1"/>
    <xf numFmtId="0" fontId="0" fillId="0" borderId="58" xfId="3" applyFont="1" applyBorder="1" applyAlignment="1"/>
    <xf numFmtId="3" fontId="0" fillId="6" borderId="71" xfId="3" applyNumberFormat="1" applyFont="1" applyFill="1" applyBorder="1" applyAlignment="1"/>
    <xf numFmtId="0" fontId="0" fillId="5" borderId="58" xfId="3" applyFont="1" applyFill="1" applyBorder="1" applyAlignment="1"/>
    <xf numFmtId="49" fontId="14" fillId="0" borderId="72" xfId="3" applyNumberFormat="1" applyFont="1" applyBorder="1" applyAlignment="1">
      <alignment horizontal="center" vertical="center"/>
    </xf>
    <xf numFmtId="49" fontId="14" fillId="0" borderId="33" xfId="3" applyNumberFormat="1" applyFont="1" applyBorder="1" applyAlignment="1">
      <alignment horizontal="center" vertical="center"/>
    </xf>
    <xf numFmtId="49" fontId="14" fillId="0" borderId="34" xfId="3" applyNumberFormat="1" applyFont="1" applyBorder="1" applyAlignment="1">
      <alignment horizontal="center" vertical="center"/>
    </xf>
    <xf numFmtId="0" fontId="24" fillId="0" borderId="33" xfId="3" applyFont="1" applyBorder="1" applyAlignment="1">
      <alignment horizontal="left" vertical="center"/>
    </xf>
    <xf numFmtId="0" fontId="14" fillId="0" borderId="33" xfId="2" applyFont="1" applyBorder="1" applyAlignment="1"/>
    <xf numFmtId="0" fontId="10" fillId="0" borderId="34" xfId="3" applyFont="1" applyBorder="1" applyAlignment="1">
      <alignment horizontal="left" vertical="center"/>
    </xf>
    <xf numFmtId="0" fontId="10" fillId="0" borderId="32" xfId="3" applyFont="1" applyBorder="1" applyAlignment="1">
      <alignment horizontal="right" vertical="center"/>
    </xf>
    <xf numFmtId="0" fontId="10" fillId="0" borderId="33" xfId="3" applyFont="1" applyBorder="1" applyAlignment="1">
      <alignment horizontal="center" vertical="center"/>
    </xf>
    <xf numFmtId="0" fontId="10" fillId="0" borderId="42" xfId="3" applyFont="1" applyBorder="1" applyAlignment="1">
      <alignment horizontal="center" vertical="center"/>
    </xf>
    <xf numFmtId="37" fontId="10" fillId="0" borderId="32" xfId="3" applyNumberFormat="1" applyFont="1" applyBorder="1">
      <alignment vertical="center"/>
    </xf>
    <xf numFmtId="37" fontId="14" fillId="0" borderId="42" xfId="3" applyNumberFormat="1" applyFont="1" applyBorder="1">
      <alignment vertical="center"/>
    </xf>
    <xf numFmtId="3" fontId="14" fillId="0" borderId="73" xfId="3" applyNumberFormat="1" applyFont="1" applyBorder="1" applyAlignment="1">
      <alignment horizontal="center" vertical="center"/>
    </xf>
    <xf numFmtId="3" fontId="0" fillId="6" borderId="37" xfId="3" applyNumberFormat="1" applyFont="1" applyFill="1" applyBorder="1">
      <alignment vertical="center"/>
    </xf>
    <xf numFmtId="3" fontId="25" fillId="6" borderId="43" xfId="2" applyNumberFormat="1" applyFont="1" applyFill="1" applyBorder="1" applyAlignment="1"/>
    <xf numFmtId="3" fontId="0" fillId="6" borderId="43" xfId="3" applyNumberFormat="1" applyFont="1" applyFill="1" applyBorder="1" applyAlignment="1"/>
    <xf numFmtId="3" fontId="0" fillId="6" borderId="43" xfId="3" applyNumberFormat="1" applyFont="1" applyFill="1" applyBorder="1">
      <alignment vertical="center"/>
    </xf>
    <xf numFmtId="3" fontId="0" fillId="7" borderId="43" xfId="3" applyNumberFormat="1" applyFont="1" applyFill="1" applyBorder="1">
      <alignment vertical="center"/>
    </xf>
    <xf numFmtId="3" fontId="0" fillId="8" borderId="43" xfId="3" applyNumberFormat="1" applyFont="1" applyFill="1" applyBorder="1">
      <alignment vertical="center"/>
    </xf>
    <xf numFmtId="3" fontId="0" fillId="8" borderId="73" xfId="3" applyNumberFormat="1" applyFont="1" applyFill="1" applyBorder="1">
      <alignment vertical="center"/>
    </xf>
    <xf numFmtId="0" fontId="0" fillId="0" borderId="58" xfId="3" applyFont="1" applyBorder="1">
      <alignment vertical="center"/>
    </xf>
    <xf numFmtId="3" fontId="0" fillId="6" borderId="74" xfId="3" applyNumberFormat="1" applyFont="1" applyFill="1" applyBorder="1">
      <alignment vertical="center"/>
    </xf>
    <xf numFmtId="0" fontId="0" fillId="5" borderId="58" xfId="3" applyFont="1" applyFill="1" applyBorder="1">
      <alignment vertical="center"/>
    </xf>
    <xf numFmtId="0" fontId="0" fillId="0" borderId="0" xfId="3" applyFont="1">
      <alignment vertical="center"/>
    </xf>
    <xf numFmtId="49" fontId="14" fillId="0" borderId="75" xfId="3" applyNumberFormat="1" applyFont="1" applyBorder="1" applyAlignment="1">
      <alignment horizontal="center" vertical="center"/>
    </xf>
    <xf numFmtId="49" fontId="14" fillId="0" borderId="36" xfId="3" applyNumberFormat="1" applyFont="1" applyBorder="1" applyAlignment="1">
      <alignment horizontal="center" vertical="center"/>
    </xf>
    <xf numFmtId="49" fontId="14" fillId="0" borderId="36" xfId="3" applyNumberFormat="1" applyFont="1" applyBorder="1" applyAlignment="1">
      <alignment horizontal="center" vertical="center" wrapText="1"/>
    </xf>
    <xf numFmtId="49" fontId="14" fillId="0" borderId="36" xfId="3" applyNumberFormat="1" applyFont="1" applyBorder="1" applyAlignment="1">
      <alignment horizontal="center" vertical="center" textRotation="90" wrapText="1"/>
    </xf>
    <xf numFmtId="49" fontId="14" fillId="0" borderId="37" xfId="3" applyNumberFormat="1" applyFont="1" applyBorder="1" applyAlignment="1">
      <alignment horizontal="center" vertical="center"/>
    </xf>
    <xf numFmtId="0" fontId="24" fillId="0" borderId="36" xfId="3" applyFont="1" applyBorder="1" applyAlignment="1">
      <alignment horizontal="left" vertical="center"/>
    </xf>
    <xf numFmtId="0" fontId="14" fillId="0" borderId="36" xfId="2" applyFont="1" applyBorder="1" applyAlignment="1"/>
    <xf numFmtId="0" fontId="10" fillId="0" borderId="37" xfId="3" applyFont="1" applyBorder="1" applyAlignment="1">
      <alignment horizontal="left" vertical="center"/>
    </xf>
    <xf numFmtId="0" fontId="10" fillId="0" borderId="35" xfId="3" applyFont="1" applyBorder="1" applyAlignment="1">
      <alignment horizontal="right" vertical="center"/>
    </xf>
    <xf numFmtId="0" fontId="10" fillId="0" borderId="36" xfId="3" applyFont="1" applyBorder="1" applyAlignment="1">
      <alignment horizontal="center" vertical="center"/>
    </xf>
    <xf numFmtId="0" fontId="10" fillId="0" borderId="43" xfId="3" applyFont="1" applyBorder="1" applyAlignment="1">
      <alignment horizontal="center" vertical="center"/>
    </xf>
    <xf numFmtId="37" fontId="10" fillId="0" borderId="35" xfId="3" applyNumberFormat="1" applyFont="1" applyBorder="1">
      <alignment vertical="center"/>
    </xf>
    <xf numFmtId="37" fontId="14" fillId="0" borderId="43" xfId="3" applyNumberFormat="1" applyFont="1" applyBorder="1">
      <alignment vertical="center"/>
    </xf>
    <xf numFmtId="0" fontId="14" fillId="0" borderId="35" xfId="3" applyFont="1" applyBorder="1" applyAlignment="1">
      <alignment vertical="center" wrapText="1"/>
    </xf>
    <xf numFmtId="0" fontId="14" fillId="0" borderId="45" xfId="2" applyFont="1" applyBorder="1" applyAlignment="1"/>
    <xf numFmtId="0" fontId="10" fillId="0" borderId="37" xfId="3" applyFont="1" applyBorder="1" applyAlignment="1">
      <alignment vertical="center" wrapText="1"/>
    </xf>
    <xf numFmtId="0" fontId="10" fillId="0" borderId="35" xfId="3" applyFont="1" applyBorder="1" applyAlignment="1">
      <alignment horizontal="right" vertical="center" wrapText="1"/>
    </xf>
    <xf numFmtId="0" fontId="10" fillId="0" borderId="36" xfId="3" applyFont="1" applyBorder="1" applyAlignment="1">
      <alignment horizontal="center" vertical="center" wrapText="1"/>
    </xf>
    <xf numFmtId="3" fontId="10" fillId="0" borderId="73" xfId="3" applyNumberFormat="1" applyFont="1" applyBorder="1" applyAlignment="1">
      <alignment horizontal="center" vertical="center" shrinkToFit="1"/>
    </xf>
    <xf numFmtId="49" fontId="14" fillId="0" borderId="36" xfId="3" quotePrefix="1" applyNumberFormat="1" applyFont="1" applyBorder="1" applyAlignment="1">
      <alignment horizontal="center" vertical="center" wrapText="1"/>
    </xf>
    <xf numFmtId="0" fontId="14" fillId="0" borderId="45" xfId="3" applyFont="1" applyBorder="1" applyAlignment="1">
      <alignment vertical="center" wrapText="1"/>
    </xf>
    <xf numFmtId="0" fontId="14" fillId="0" borderId="46" xfId="3" applyFont="1" applyBorder="1" applyAlignment="1">
      <alignment vertical="center" wrapText="1"/>
    </xf>
    <xf numFmtId="0" fontId="14" fillId="0" borderId="45" xfId="3" applyFont="1" applyBorder="1" applyAlignment="1">
      <alignment horizontal="right" vertical="center" wrapText="1"/>
    </xf>
    <xf numFmtId="0" fontId="14" fillId="0" borderId="45" xfId="3" applyFont="1" applyBorder="1" applyAlignment="1">
      <alignment horizontal="center" vertical="center" wrapText="1"/>
    </xf>
    <xf numFmtId="0" fontId="14" fillId="0" borderId="47" xfId="3" applyFont="1" applyBorder="1" applyAlignment="1">
      <alignment horizontal="center" vertical="center"/>
    </xf>
    <xf numFmtId="37" fontId="14" fillId="0" borderId="45" xfId="3" applyNumberFormat="1" applyFont="1" applyBorder="1">
      <alignment vertical="center"/>
    </xf>
    <xf numFmtId="37" fontId="14" fillId="0" borderId="47" xfId="3" applyNumberFormat="1" applyFont="1" applyBorder="1">
      <alignment vertical="center"/>
    </xf>
    <xf numFmtId="3" fontId="14" fillId="0" borderId="76" xfId="3" applyNumberFormat="1" applyFont="1" applyBorder="1" applyAlignment="1">
      <alignment horizontal="center" vertical="center" shrinkToFit="1"/>
    </xf>
    <xf numFmtId="3" fontId="2" fillId="6" borderId="37" xfId="3" applyNumberFormat="1" applyFont="1" applyFill="1" applyBorder="1">
      <alignment vertical="center"/>
    </xf>
    <xf numFmtId="3" fontId="2" fillId="6" borderId="43" xfId="3" applyNumberFormat="1" applyFont="1" applyFill="1" applyBorder="1">
      <alignment vertical="center"/>
    </xf>
    <xf numFmtId="3" fontId="2" fillId="7" borderId="43" xfId="3" applyNumberFormat="1" applyFont="1" applyFill="1" applyBorder="1">
      <alignment vertical="center"/>
    </xf>
    <xf numFmtId="3" fontId="2" fillId="8" borderId="43" xfId="3" applyNumberFormat="1" applyFont="1" applyFill="1" applyBorder="1">
      <alignment vertical="center"/>
    </xf>
    <xf numFmtId="3" fontId="2" fillId="8" borderId="73" xfId="3" applyNumberFormat="1" applyFont="1" applyFill="1" applyBorder="1">
      <alignment vertical="center"/>
    </xf>
    <xf numFmtId="0" fontId="2" fillId="0" borderId="58" xfId="3" applyFont="1" applyBorder="1">
      <alignment vertical="center"/>
    </xf>
    <xf numFmtId="3" fontId="2" fillId="6" borderId="74" xfId="3" applyNumberFormat="1" applyFont="1" applyFill="1" applyBorder="1">
      <alignment vertical="center"/>
    </xf>
    <xf numFmtId="0" fontId="2" fillId="5" borderId="58" xfId="3" applyFont="1" applyFill="1" applyBorder="1">
      <alignment vertical="center"/>
    </xf>
    <xf numFmtId="0" fontId="2" fillId="0" borderId="0" xfId="3" applyFont="1">
      <alignment vertical="center"/>
    </xf>
    <xf numFmtId="49" fontId="10" fillId="0" borderId="75" xfId="3" applyNumberFormat="1" applyFont="1" applyBorder="1" applyAlignment="1">
      <alignment horizontal="center" vertical="center"/>
    </xf>
    <xf numFmtId="49" fontId="10" fillId="0" borderId="36" xfId="3" applyNumberFormat="1" applyFont="1" applyBorder="1" applyAlignment="1">
      <alignment horizontal="center" vertical="center"/>
    </xf>
    <xf numFmtId="49" fontId="10" fillId="0" borderId="36" xfId="3" applyNumberFormat="1" applyFont="1" applyBorder="1" applyAlignment="1">
      <alignment horizontal="center" vertical="center" wrapText="1"/>
    </xf>
    <xf numFmtId="49" fontId="10" fillId="0" borderId="36" xfId="3" quotePrefix="1" applyNumberFormat="1" applyFont="1" applyBorder="1" applyAlignment="1">
      <alignment horizontal="center" vertical="center" wrapText="1"/>
    </xf>
    <xf numFmtId="49" fontId="10" fillId="0" borderId="36" xfId="3" quotePrefix="1" applyNumberFormat="1" applyFont="1" applyBorder="1" applyAlignment="1">
      <alignment horizontal="center" vertical="center"/>
    </xf>
    <xf numFmtId="49" fontId="10" fillId="0" borderId="37" xfId="3" applyNumberFormat="1" applyFont="1" applyBorder="1" applyAlignment="1">
      <alignment horizontal="center" vertical="center"/>
    </xf>
    <xf numFmtId="0" fontId="10" fillId="0" borderId="45" xfId="3" applyFont="1" applyBorder="1" applyAlignment="1">
      <alignment vertical="center" wrapText="1"/>
    </xf>
    <xf numFmtId="0" fontId="10" fillId="0" borderId="36" xfId="2" applyFont="1" applyBorder="1" applyAlignment="1"/>
    <xf numFmtId="0" fontId="10" fillId="0" borderId="46" xfId="3" applyFont="1" applyBorder="1" applyAlignment="1">
      <alignment vertical="center" wrapText="1"/>
    </xf>
    <xf numFmtId="0" fontId="10" fillId="0" borderId="45" xfId="3" applyFont="1" applyBorder="1" applyAlignment="1">
      <alignment horizontal="right" vertical="center" wrapText="1"/>
    </xf>
    <xf numFmtId="0" fontId="10" fillId="0" borderId="45" xfId="3" applyFont="1" applyBorder="1" applyAlignment="1">
      <alignment horizontal="center" vertical="center" wrapText="1"/>
    </xf>
    <xf numFmtId="0" fontId="10" fillId="0" borderId="47" xfId="3" applyFont="1" applyBorder="1" applyAlignment="1">
      <alignment horizontal="center" vertical="center"/>
    </xf>
    <xf numFmtId="37" fontId="10" fillId="0" borderId="45" xfId="3" applyNumberFormat="1" applyFont="1" applyBorder="1">
      <alignment vertical="center"/>
    </xf>
    <xf numFmtId="37" fontId="10" fillId="0" borderId="47" xfId="3" applyNumberFormat="1" applyFont="1" applyBorder="1">
      <alignment vertical="center"/>
    </xf>
    <xf numFmtId="3" fontId="10" fillId="0" borderId="76" xfId="3" applyNumberFormat="1" applyFont="1" applyBorder="1" applyAlignment="1">
      <alignment horizontal="center" vertical="center" shrinkToFit="1"/>
    </xf>
    <xf numFmtId="3" fontId="1" fillId="6" borderId="37" xfId="3" applyNumberFormat="1" applyFont="1" applyFill="1" applyBorder="1">
      <alignment vertical="center"/>
    </xf>
    <xf numFmtId="3" fontId="15" fillId="6" borderId="43" xfId="2" applyNumberFormat="1" applyFill="1" applyBorder="1" applyAlignment="1"/>
    <xf numFmtId="3" fontId="1" fillId="6" borderId="43" xfId="3" applyNumberFormat="1" applyFont="1" applyFill="1" applyBorder="1">
      <alignment vertical="center"/>
    </xf>
    <xf numFmtId="3" fontId="1" fillId="7" borderId="43" xfId="3" applyNumberFormat="1" applyFont="1" applyFill="1" applyBorder="1">
      <alignment vertical="center"/>
    </xf>
    <xf numFmtId="3" fontId="1" fillId="8" borderId="43" xfId="3" applyNumberFormat="1" applyFont="1" applyFill="1" applyBorder="1">
      <alignment vertical="center"/>
    </xf>
    <xf numFmtId="3" fontId="1" fillId="8" borderId="73" xfId="3" applyNumberFormat="1" applyFont="1" applyFill="1" applyBorder="1">
      <alignment vertical="center"/>
    </xf>
    <xf numFmtId="0" fontId="1" fillId="0" borderId="58" xfId="3" applyFont="1" applyBorder="1">
      <alignment vertical="center"/>
    </xf>
    <xf numFmtId="3" fontId="1" fillId="6" borderId="74" xfId="3" applyNumberFormat="1" applyFont="1" applyFill="1" applyBorder="1">
      <alignment vertical="center"/>
    </xf>
    <xf numFmtId="0" fontId="1" fillId="5" borderId="58" xfId="3" applyFont="1" applyFill="1" applyBorder="1">
      <alignment vertical="center"/>
    </xf>
    <xf numFmtId="0" fontId="1" fillId="0" borderId="0" xfId="3" applyFont="1">
      <alignment vertical="center"/>
    </xf>
    <xf numFmtId="0" fontId="10" fillId="0" borderId="45" xfId="2" applyFont="1" applyBorder="1" applyAlignment="1"/>
    <xf numFmtId="3" fontId="3" fillId="0" borderId="58" xfId="3" applyNumberFormat="1" applyFont="1" applyBorder="1">
      <alignment vertical="center"/>
    </xf>
    <xf numFmtId="3" fontId="3" fillId="5" borderId="58" xfId="3" applyNumberFormat="1" applyFont="1" applyFill="1" applyBorder="1">
      <alignment vertical="center"/>
    </xf>
    <xf numFmtId="49" fontId="14" fillId="0" borderId="36" xfId="3" quotePrefix="1" applyNumberFormat="1" applyFont="1" applyBorder="1" applyAlignment="1">
      <alignment horizontal="center" vertical="center"/>
    </xf>
    <xf numFmtId="3" fontId="26" fillId="0" borderId="58" xfId="3" applyNumberFormat="1" applyFont="1" applyBorder="1">
      <alignment vertical="center"/>
    </xf>
    <xf numFmtId="3" fontId="26" fillId="5" borderId="58" xfId="3" applyNumberFormat="1" applyFont="1" applyFill="1" applyBorder="1">
      <alignment vertical="center"/>
    </xf>
    <xf numFmtId="3" fontId="3" fillId="6" borderId="37" xfId="3" applyNumberFormat="1" applyFont="1" applyFill="1" applyBorder="1">
      <alignment vertical="center"/>
    </xf>
    <xf numFmtId="3" fontId="3" fillId="6" borderId="43" xfId="3" applyNumberFormat="1" applyFont="1" applyFill="1" applyBorder="1">
      <alignment vertical="center"/>
    </xf>
    <xf numFmtId="3" fontId="3" fillId="7" borderId="43" xfId="3" applyNumberFormat="1" applyFont="1" applyFill="1" applyBorder="1">
      <alignment vertical="center"/>
    </xf>
    <xf numFmtId="3" fontId="3" fillId="8" borderId="43" xfId="3" applyNumberFormat="1" applyFont="1" applyFill="1" applyBorder="1">
      <alignment vertical="center"/>
    </xf>
    <xf numFmtId="3" fontId="3" fillId="8" borderId="73" xfId="3" applyNumberFormat="1" applyFont="1" applyFill="1" applyBorder="1">
      <alignment vertical="center"/>
    </xf>
    <xf numFmtId="3" fontId="3" fillId="6" borderId="74" xfId="3" applyNumberFormat="1" applyFont="1" applyFill="1" applyBorder="1">
      <alignment vertical="center"/>
    </xf>
    <xf numFmtId="0" fontId="3" fillId="0" borderId="58" xfId="3" applyFont="1" applyBorder="1">
      <alignment vertical="center"/>
    </xf>
    <xf numFmtId="0" fontId="3" fillId="5" borderId="58" xfId="3" applyFont="1" applyFill="1" applyBorder="1">
      <alignment vertical="center"/>
    </xf>
    <xf numFmtId="0" fontId="3" fillId="0" borderId="0" xfId="3" applyFont="1">
      <alignment vertical="center"/>
    </xf>
    <xf numFmtId="37" fontId="10" fillId="0" borderId="43" xfId="3" applyNumberFormat="1" applyFont="1" applyBorder="1">
      <alignment vertical="center"/>
    </xf>
    <xf numFmtId="0" fontId="10" fillId="0" borderId="35" xfId="3" applyFont="1" applyBorder="1" applyAlignment="1">
      <alignment vertical="center" wrapText="1"/>
    </xf>
    <xf numFmtId="3" fontId="10" fillId="0" borderId="76" xfId="3" applyNumberFormat="1" applyFont="1" applyBorder="1" applyAlignment="1">
      <alignment horizontal="center" vertical="center"/>
    </xf>
    <xf numFmtId="49" fontId="10" fillId="0" borderId="77" xfId="3" applyNumberFormat="1" applyFont="1" applyBorder="1" applyAlignment="1">
      <alignment horizontal="center" vertical="center"/>
    </xf>
    <xf numFmtId="49" fontId="10" fillId="0" borderId="78" xfId="3" applyNumberFormat="1" applyFont="1" applyBorder="1" applyAlignment="1">
      <alignment horizontal="center" vertical="center"/>
    </xf>
    <xf numFmtId="49" fontId="10" fillId="0" borderId="78" xfId="3" applyNumberFormat="1" applyFont="1" applyBorder="1" applyAlignment="1">
      <alignment horizontal="center" vertical="center" wrapText="1"/>
    </xf>
    <xf numFmtId="49" fontId="10" fillId="0" borderId="79" xfId="3" applyNumberFormat="1" applyFont="1" applyBorder="1" applyAlignment="1">
      <alignment horizontal="center" vertical="center"/>
    </xf>
    <xf numFmtId="0" fontId="10" fillId="0" borderId="44" xfId="3" applyFont="1" applyBorder="1" applyAlignment="1">
      <alignment vertical="center" wrapText="1"/>
    </xf>
    <xf numFmtId="0" fontId="10" fillId="0" borderId="45" xfId="2" applyFont="1" applyBorder="1" applyAlignment="1">
      <alignment horizontal="left" indent="1"/>
    </xf>
    <xf numFmtId="0" fontId="10" fillId="0" borderId="45" xfId="2" applyFont="1" applyBorder="1" applyAlignment="1">
      <alignment horizontal="center"/>
    </xf>
    <xf numFmtId="0" fontId="10" fillId="0" borderId="47" xfId="2" applyFont="1" applyBorder="1" applyAlignment="1">
      <alignment horizontal="center"/>
    </xf>
    <xf numFmtId="43" fontId="10" fillId="0" borderId="45" xfId="4" applyFont="1" applyBorder="1" applyAlignment="1"/>
    <xf numFmtId="39" fontId="10" fillId="0" borderId="47" xfId="3" applyNumberFormat="1" applyFont="1" applyBorder="1">
      <alignment vertical="center"/>
    </xf>
    <xf numFmtId="3" fontId="0" fillId="6" borderId="46" xfId="3" applyNumberFormat="1" applyFont="1" applyFill="1" applyBorder="1">
      <alignment vertical="center"/>
    </xf>
    <xf numFmtId="3" fontId="0" fillId="6" borderId="47" xfId="3" applyNumberFormat="1" applyFont="1" applyFill="1" applyBorder="1">
      <alignment vertical="center"/>
    </xf>
    <xf numFmtId="3" fontId="0" fillId="7" borderId="47" xfId="3" applyNumberFormat="1" applyFont="1" applyFill="1" applyBorder="1">
      <alignment vertical="center"/>
    </xf>
    <xf numFmtId="3" fontId="0" fillId="8" borderId="47" xfId="3" applyNumberFormat="1" applyFont="1" applyFill="1" applyBorder="1">
      <alignment vertical="center"/>
    </xf>
    <xf numFmtId="3" fontId="0" fillId="8" borderId="76" xfId="3" applyNumberFormat="1" applyFont="1" applyFill="1" applyBorder="1">
      <alignment vertical="center"/>
    </xf>
    <xf numFmtId="3" fontId="0" fillId="6" borderId="80" xfId="3" applyNumberFormat="1" applyFont="1" applyFill="1" applyBorder="1">
      <alignment vertical="center"/>
    </xf>
    <xf numFmtId="3" fontId="14" fillId="2" borderId="9" xfId="3" applyNumberFormat="1" applyFont="1" applyFill="1" applyBorder="1" applyAlignment="1">
      <alignment horizontal="left" vertical="center"/>
    </xf>
    <xf numFmtId="3" fontId="14" fillId="2" borderId="10" xfId="3" applyNumberFormat="1" applyFont="1" applyFill="1" applyBorder="1" applyAlignment="1">
      <alignment horizontal="left" vertical="center"/>
    </xf>
    <xf numFmtId="3" fontId="14" fillId="2" borderId="10" xfId="3" applyNumberFormat="1" applyFont="1" applyFill="1" applyBorder="1" applyAlignment="1">
      <alignment horizontal="center" vertical="center"/>
    </xf>
    <xf numFmtId="3" fontId="14" fillId="2" borderId="81" xfId="3" applyNumberFormat="1" applyFont="1" applyFill="1" applyBorder="1" applyAlignment="1">
      <alignment horizontal="center" vertical="center"/>
    </xf>
    <xf numFmtId="164" fontId="14" fillId="2" borderId="10" xfId="4" applyNumberFormat="1" applyFont="1" applyFill="1" applyBorder="1" applyAlignment="1">
      <alignment horizontal="center" vertical="center"/>
    </xf>
    <xf numFmtId="3" fontId="14" fillId="2" borderId="82" xfId="3" applyNumberFormat="1" applyFont="1" applyFill="1" applyBorder="1" applyAlignment="1">
      <alignment horizontal="center" vertical="center"/>
    </xf>
    <xf numFmtId="3" fontId="0" fillId="6" borderId="81" xfId="3" applyNumberFormat="1" applyFont="1" applyFill="1" applyBorder="1">
      <alignment vertical="center"/>
    </xf>
    <xf numFmtId="3" fontId="0" fillId="6" borderId="83" xfId="3" applyNumberFormat="1" applyFont="1" applyFill="1" applyBorder="1">
      <alignment vertical="center"/>
    </xf>
    <xf numFmtId="3" fontId="0" fillId="7" borderId="83" xfId="3" applyNumberFormat="1" applyFont="1" applyFill="1" applyBorder="1">
      <alignment vertical="center"/>
    </xf>
    <xf numFmtId="3" fontId="0" fillId="8" borderId="83" xfId="3" applyNumberFormat="1" applyFont="1" applyFill="1" applyBorder="1">
      <alignment vertical="center"/>
    </xf>
    <xf numFmtId="3" fontId="0" fillId="8" borderId="82" xfId="3" applyNumberFormat="1" applyFont="1" applyFill="1" applyBorder="1">
      <alignment vertical="center"/>
    </xf>
    <xf numFmtId="3" fontId="0" fillId="2" borderId="61" xfId="3" applyNumberFormat="1" applyFont="1" applyFill="1" applyBorder="1">
      <alignment vertical="center"/>
    </xf>
    <xf numFmtId="3" fontId="0" fillId="6" borderId="84" xfId="3" applyNumberFormat="1" applyFont="1" applyFill="1" applyBorder="1">
      <alignment vertical="center"/>
    </xf>
    <xf numFmtId="3" fontId="0" fillId="5" borderId="61" xfId="3" applyNumberFormat="1" applyFont="1" applyFill="1" applyBorder="1">
      <alignment vertical="center"/>
    </xf>
    <xf numFmtId="0" fontId="0" fillId="2" borderId="0" xfId="3" applyFont="1" applyFill="1">
      <alignment vertical="center"/>
    </xf>
    <xf numFmtId="0" fontId="10" fillId="2" borderId="0" xfId="3" applyFont="1" applyFill="1" applyAlignment="1">
      <alignment horizontal="center" vertical="center"/>
    </xf>
    <xf numFmtId="0" fontId="27" fillId="2" borderId="0" xfId="3" applyFont="1" applyFill="1" applyAlignment="1">
      <alignment horizontal="center" vertical="center"/>
    </xf>
    <xf numFmtId="0" fontId="10" fillId="2" borderId="0" xfId="3" applyFont="1" applyFill="1" applyAlignment="1">
      <alignment horizontal="right" vertical="center"/>
    </xf>
    <xf numFmtId="0" fontId="10" fillId="0" borderId="0" xfId="3" applyFont="1" applyAlignment="1">
      <alignment horizontal="center" vertical="center"/>
    </xf>
    <xf numFmtId="0" fontId="10" fillId="0" borderId="0" xfId="3" applyFont="1">
      <alignment vertical="center"/>
    </xf>
    <xf numFmtId="0" fontId="10" fillId="0" borderId="5" xfId="3" applyFont="1" applyBorder="1" applyAlignment="1">
      <alignment horizontal="center" vertical="center"/>
    </xf>
    <xf numFmtId="3" fontId="0" fillId="3" borderId="0" xfId="3" applyNumberFormat="1" applyFont="1" applyFill="1">
      <alignment vertical="center"/>
    </xf>
    <xf numFmtId="0" fontId="0" fillId="3" borderId="0" xfId="3" applyFont="1" applyFill="1">
      <alignment vertical="center"/>
    </xf>
    <xf numFmtId="3" fontId="10" fillId="2" borderId="0" xfId="3" applyNumberFormat="1" applyFont="1" applyFill="1">
      <alignment vertical="center"/>
    </xf>
    <xf numFmtId="3" fontId="27" fillId="2" borderId="0" xfId="3" applyNumberFormat="1" applyFont="1" applyFill="1" applyAlignment="1">
      <alignment horizontal="center" vertical="center"/>
    </xf>
    <xf numFmtId="3" fontId="10" fillId="2" borderId="0" xfId="3" applyNumberFormat="1" applyFont="1" applyFill="1" applyAlignment="1">
      <alignment horizontal="right" vertical="center"/>
    </xf>
    <xf numFmtId="3" fontId="10" fillId="2" borderId="0" xfId="3" applyNumberFormat="1" applyFont="1" applyFill="1" applyAlignment="1">
      <alignment horizontal="center" vertical="center"/>
    </xf>
    <xf numFmtId="39" fontId="10" fillId="2" borderId="0" xfId="2" applyNumberFormat="1" applyFont="1" applyFill="1" applyAlignment="1">
      <alignment horizontal="left" vertical="center"/>
    </xf>
    <xf numFmtId="0" fontId="10" fillId="2" borderId="0" xfId="3" applyFont="1" applyFill="1">
      <alignment vertical="center"/>
    </xf>
    <xf numFmtId="0" fontId="10" fillId="2" borderId="5" xfId="3" applyFont="1" applyFill="1" applyBorder="1" applyAlignment="1">
      <alignment horizontal="center" vertical="center"/>
    </xf>
    <xf numFmtId="0" fontId="10" fillId="2" borderId="0" xfId="2" applyFont="1" applyFill="1" applyAlignment="1"/>
    <xf numFmtId="3" fontId="27" fillId="2" borderId="0" xfId="3" applyNumberFormat="1" applyFont="1" applyFill="1">
      <alignment vertical="center"/>
    </xf>
    <xf numFmtId="0" fontId="10" fillId="2" borderId="0" xfId="2" applyFont="1" applyFill="1" applyAlignment="1">
      <alignment horizontal="center"/>
    </xf>
    <xf numFmtId="0" fontId="28" fillId="2" borderId="0" xfId="3" applyFont="1" applyFill="1" applyAlignment="1">
      <alignment horizontal="center" vertical="center"/>
    </xf>
    <xf numFmtId="0" fontId="10" fillId="2" borderId="4" xfId="3" applyFont="1" applyFill="1" applyBorder="1" applyAlignment="1">
      <alignment horizontal="center" vertical="center"/>
    </xf>
    <xf numFmtId="0" fontId="10" fillId="2" borderId="30" xfId="2" applyFont="1" applyFill="1" applyBorder="1">
      <alignment vertical="center"/>
    </xf>
    <xf numFmtId="0" fontId="28" fillId="2" borderId="30" xfId="3" applyFont="1" applyFill="1" applyBorder="1" applyAlignment="1">
      <alignment horizontal="center" vertical="center"/>
    </xf>
    <xf numFmtId="0" fontId="10" fillId="0" borderId="0" xfId="2" applyFont="1" applyAlignment="1">
      <alignment horizontal="left"/>
    </xf>
    <xf numFmtId="0" fontId="10" fillId="2" borderId="6" xfId="3" applyFont="1" applyFill="1" applyBorder="1" applyAlignment="1">
      <alignment horizontal="center" vertical="center"/>
    </xf>
    <xf numFmtId="0" fontId="10" fillId="2" borderId="7" xfId="3" applyFont="1" applyFill="1" applyBorder="1" applyAlignment="1">
      <alignment horizontal="center" vertical="center"/>
    </xf>
    <xf numFmtId="39" fontId="10" fillId="2" borderId="7" xfId="3" applyNumberFormat="1" applyFont="1" applyFill="1" applyBorder="1" applyAlignment="1">
      <alignment horizontal="center" vertical="center"/>
    </xf>
    <xf numFmtId="39" fontId="27" fillId="2" borderId="7" xfId="3" applyNumberFormat="1" applyFont="1" applyFill="1" applyBorder="1" applyAlignment="1">
      <alignment horizontal="center" vertical="center"/>
    </xf>
    <xf numFmtId="39" fontId="10" fillId="2" borderId="7" xfId="3" applyNumberFormat="1" applyFont="1" applyFill="1" applyBorder="1" applyAlignment="1">
      <alignment horizontal="right" vertical="center"/>
    </xf>
    <xf numFmtId="0" fontId="10" fillId="0" borderId="7" xfId="3" applyFont="1" applyBorder="1" applyAlignment="1">
      <alignment horizontal="center" vertical="center"/>
    </xf>
    <xf numFmtId="3" fontId="10" fillId="2" borderId="7" xfId="3" applyNumberFormat="1" applyFont="1" applyFill="1" applyBorder="1">
      <alignment vertical="center"/>
    </xf>
    <xf numFmtId="0" fontId="10" fillId="0" borderId="7" xfId="3" applyFont="1" applyBorder="1">
      <alignment vertical="center"/>
    </xf>
    <xf numFmtId="0" fontId="10" fillId="0" borderId="8" xfId="3" applyFont="1" applyBorder="1" applyAlignment="1">
      <alignment horizontal="center" vertical="center"/>
    </xf>
    <xf numFmtId="0" fontId="10" fillId="0" borderId="0" xfId="3" applyFont="1" applyAlignment="1">
      <alignment horizontal="center"/>
    </xf>
    <xf numFmtId="0" fontId="10" fillId="0" borderId="0" xfId="3" applyFont="1" applyAlignment="1"/>
    <xf numFmtId="0" fontId="10" fillId="0" borderId="0" xfId="3" applyFont="1" applyAlignment="1">
      <alignment horizontal="right"/>
    </xf>
    <xf numFmtId="0" fontId="15" fillId="0" borderId="0" xfId="3" applyAlignment="1">
      <alignment horizontal="center"/>
    </xf>
    <xf numFmtId="0" fontId="15" fillId="0" borderId="0" xfId="3" applyAlignment="1">
      <alignment horizontal="right"/>
    </xf>
    <xf numFmtId="0" fontId="1" fillId="0" borderId="0" xfId="5" applyAlignment="1">
      <alignment vertical="top" wrapText="1"/>
    </xf>
    <xf numFmtId="0" fontId="30" fillId="0" borderId="59" xfId="5" applyFont="1" applyBorder="1" applyAlignment="1">
      <alignment horizontal="center" vertical="top" wrapText="1"/>
    </xf>
    <xf numFmtId="0" fontId="30" fillId="0" borderId="22" xfId="5" applyFont="1" applyBorder="1" applyAlignment="1">
      <alignment horizontal="center" vertical="top" wrapText="1"/>
    </xf>
    <xf numFmtId="0" fontId="1" fillId="0" borderId="59" xfId="5" applyBorder="1" applyAlignment="1">
      <alignment vertical="top" wrapText="1"/>
    </xf>
    <xf numFmtId="0" fontId="1" fillId="0" borderId="22" xfId="5" applyBorder="1" applyAlignment="1">
      <alignment vertical="top" wrapText="1"/>
    </xf>
    <xf numFmtId="0" fontId="1" fillId="0" borderId="60" xfId="5" applyBorder="1" applyAlignment="1">
      <alignment vertical="top" wrapText="1"/>
    </xf>
    <xf numFmtId="0" fontId="1" fillId="0" borderId="41" xfId="5" applyBorder="1" applyAlignment="1">
      <alignment vertical="top" wrapText="1"/>
    </xf>
    <xf numFmtId="0" fontId="1" fillId="0" borderId="22" xfId="5" applyBorder="1" applyAlignment="1">
      <alignment horizontal="left" vertical="top" wrapText="1"/>
    </xf>
    <xf numFmtId="0" fontId="10" fillId="0" borderId="45" xfId="1" applyFont="1" applyBorder="1" applyAlignment="1">
      <alignment horizontal="left" indent="2"/>
    </xf>
    <xf numFmtId="41" fontId="9" fillId="0" borderId="47" xfId="1" applyNumberFormat="1" applyFont="1" applyBorder="1" applyAlignment="1">
      <alignment horizontal="center"/>
    </xf>
    <xf numFmtId="41" fontId="9" fillId="0" borderId="47" xfId="1" applyNumberFormat="1" applyFont="1" applyBorder="1" applyAlignment="1">
      <alignment horizontal="right"/>
    </xf>
    <xf numFmtId="41" fontId="9" fillId="0" borderId="46" xfId="1" applyNumberFormat="1" applyFont="1" applyBorder="1" applyAlignment="1">
      <alignment horizontal="right"/>
    </xf>
    <xf numFmtId="3" fontId="10" fillId="0" borderId="24" xfId="2" applyNumberFormat="1" applyFont="1" applyBorder="1" applyAlignment="1">
      <alignment horizontal="left" vertical="center"/>
    </xf>
    <xf numFmtId="3" fontId="10" fillId="0" borderId="73" xfId="3" applyNumberFormat="1" applyFont="1" applyBorder="1" applyAlignment="1">
      <alignment horizontal="center" vertical="center"/>
    </xf>
    <xf numFmtId="0" fontId="14" fillId="0" borderId="37" xfId="3" applyFont="1" applyBorder="1" applyAlignment="1">
      <alignment horizontal="left" vertical="center"/>
    </xf>
    <xf numFmtId="49" fontId="10" fillId="0" borderId="36" xfId="3" applyNumberFormat="1" applyFont="1" applyBorder="1" applyAlignment="1">
      <alignment horizontal="center" vertical="center" textRotation="90" wrapText="1"/>
    </xf>
    <xf numFmtId="0" fontId="32" fillId="0" borderId="36" xfId="3" applyFont="1" applyBorder="1" applyAlignment="1">
      <alignment horizontal="left" vertical="center"/>
    </xf>
    <xf numFmtId="0" fontId="33" fillId="0" borderId="45" xfId="3" applyFont="1" applyBorder="1" applyAlignment="1">
      <alignment horizontal="center" vertical="center" wrapText="1"/>
    </xf>
    <xf numFmtId="0" fontId="33" fillId="0" borderId="47" xfId="3" applyFont="1" applyBorder="1" applyAlignment="1">
      <alignment horizontal="center" vertical="center"/>
    </xf>
    <xf numFmtId="0" fontId="14" fillId="0" borderId="35" xfId="3" applyFont="1" applyBorder="1" applyAlignment="1">
      <alignment horizontal="right" vertical="center"/>
    </xf>
    <xf numFmtId="0" fontId="14" fillId="0" borderId="36" xfId="3" applyFont="1" applyBorder="1" applyAlignment="1">
      <alignment horizontal="center" vertical="center"/>
    </xf>
    <xf numFmtId="0" fontId="14" fillId="0" borderId="43" xfId="3" applyFont="1" applyBorder="1" applyAlignment="1">
      <alignment horizontal="center" vertical="center"/>
    </xf>
    <xf numFmtId="37" fontId="14" fillId="0" borderId="35" xfId="3" applyNumberFormat="1" applyFont="1" applyBorder="1">
      <alignment vertical="center"/>
    </xf>
    <xf numFmtId="49" fontId="10" fillId="0" borderId="85" xfId="3" applyNumberFormat="1" applyFont="1" applyBorder="1" applyAlignment="1">
      <alignment horizontal="center" vertical="center"/>
    </xf>
    <xf numFmtId="49" fontId="10" fillId="0" borderId="45" xfId="3" applyNumberFormat="1" applyFont="1" applyBorder="1" applyAlignment="1">
      <alignment horizontal="center" vertical="center"/>
    </xf>
    <xf numFmtId="49" fontId="10" fillId="0" borderId="45" xfId="3" applyNumberFormat="1" applyFont="1" applyBorder="1" applyAlignment="1">
      <alignment horizontal="center" vertical="center" wrapText="1"/>
    </xf>
    <xf numFmtId="49" fontId="10" fillId="0" borderId="46" xfId="3" applyNumberFormat="1" applyFont="1" applyBorder="1" applyAlignment="1">
      <alignment horizontal="center" vertical="center"/>
    </xf>
    <xf numFmtId="3" fontId="1" fillId="6" borderId="46" xfId="3" applyNumberFormat="1" applyFont="1" applyFill="1" applyBorder="1">
      <alignment vertical="center"/>
    </xf>
    <xf numFmtId="3" fontId="15" fillId="6" borderId="47" xfId="2" applyNumberFormat="1" applyFill="1" applyBorder="1" applyAlignment="1"/>
    <xf numFmtId="3" fontId="1" fillId="6" borderId="47" xfId="3" applyNumberFormat="1" applyFont="1" applyFill="1" applyBorder="1">
      <alignment vertical="center"/>
    </xf>
    <xf numFmtId="3" fontId="1" fillId="7" borderId="47" xfId="3" applyNumberFormat="1" applyFont="1" applyFill="1" applyBorder="1">
      <alignment vertical="center"/>
    </xf>
    <xf numFmtId="3" fontId="1" fillId="8" borderId="47" xfId="3" applyNumberFormat="1" applyFont="1" applyFill="1" applyBorder="1">
      <alignment vertical="center"/>
    </xf>
    <xf numFmtId="3" fontId="1" fillId="8" borderId="76" xfId="3" applyNumberFormat="1" applyFont="1" applyFill="1" applyBorder="1">
      <alignment vertical="center"/>
    </xf>
    <xf numFmtId="3" fontId="1" fillId="6" borderId="80" xfId="3" applyNumberFormat="1" applyFont="1" applyFill="1" applyBorder="1">
      <alignment vertical="center"/>
    </xf>
    <xf numFmtId="3" fontId="1" fillId="7" borderId="37" xfId="3" applyNumberFormat="1" applyFont="1" applyFill="1" applyBorder="1">
      <alignment vertical="center"/>
    </xf>
    <xf numFmtId="3" fontId="1" fillId="8" borderId="37" xfId="3" applyNumberFormat="1" applyFont="1" applyFill="1" applyBorder="1">
      <alignment vertical="center"/>
    </xf>
    <xf numFmtId="3" fontId="3" fillId="6" borderId="46" xfId="3" applyNumberFormat="1" applyFont="1" applyFill="1" applyBorder="1">
      <alignment vertical="center"/>
    </xf>
    <xf numFmtId="3" fontId="3" fillId="6" borderId="47" xfId="3" applyNumberFormat="1" applyFont="1" applyFill="1" applyBorder="1">
      <alignment vertical="center"/>
    </xf>
    <xf numFmtId="3" fontId="3" fillId="7" borderId="47" xfId="3" applyNumberFormat="1" applyFont="1" applyFill="1" applyBorder="1">
      <alignment vertical="center"/>
    </xf>
    <xf numFmtId="3" fontId="3" fillId="8" borderId="47" xfId="3" applyNumberFormat="1" applyFont="1" applyFill="1" applyBorder="1">
      <alignment vertical="center"/>
    </xf>
    <xf numFmtId="3" fontId="3" fillId="8" borderId="76" xfId="3" applyNumberFormat="1" applyFont="1" applyFill="1" applyBorder="1">
      <alignment vertical="center"/>
    </xf>
    <xf numFmtId="3" fontId="3" fillId="6" borderId="80" xfId="3" applyNumberFormat="1" applyFont="1" applyFill="1" applyBorder="1">
      <alignment vertical="center"/>
    </xf>
    <xf numFmtId="49" fontId="10" fillId="0" borderId="45" xfId="3" quotePrefix="1" applyNumberFormat="1" applyFont="1" applyBorder="1" applyAlignment="1">
      <alignment horizontal="center" vertical="center" wrapText="1"/>
    </xf>
    <xf numFmtId="0" fontId="35" fillId="0" borderId="45" xfId="3" applyFont="1" applyBorder="1" applyAlignment="1">
      <alignment horizontal="center" vertical="center" wrapText="1"/>
    </xf>
    <xf numFmtId="0" fontId="34" fillId="0" borderId="47" xfId="3" applyFont="1" applyBorder="1" applyAlignment="1">
      <alignment horizontal="center" vertical="center"/>
    </xf>
    <xf numFmtId="165" fontId="13" fillId="0" borderId="0" xfId="1" applyNumberFormat="1" applyFont="1"/>
    <xf numFmtId="4" fontId="13" fillId="9" borderId="37" xfId="1" applyNumberFormat="1" applyFont="1" applyFill="1" applyBorder="1" applyAlignment="1">
      <alignment vertical="center"/>
    </xf>
    <xf numFmtId="4" fontId="9" fillId="9" borderId="37" xfId="1" applyNumberFormat="1" applyFont="1" applyFill="1" applyBorder="1" applyAlignment="1">
      <alignment vertical="center"/>
    </xf>
    <xf numFmtId="4" fontId="9" fillId="9" borderId="46" xfId="1" applyNumberFormat="1" applyFont="1" applyFill="1" applyBorder="1" applyAlignment="1">
      <alignment vertical="center"/>
    </xf>
    <xf numFmtId="166" fontId="13" fillId="0" borderId="0" xfId="1" applyNumberFormat="1" applyFont="1"/>
    <xf numFmtId="49" fontId="14" fillId="10" borderId="35" xfId="1" applyNumberFormat="1" applyFont="1" applyFill="1" applyBorder="1" applyAlignment="1">
      <alignment horizontal="center"/>
    </xf>
    <xf numFmtId="49" fontId="14" fillId="10" borderId="36" xfId="1" applyNumberFormat="1" applyFont="1" applyFill="1" applyBorder="1" applyAlignment="1">
      <alignment horizontal="center"/>
    </xf>
    <xf numFmtId="0" fontId="14" fillId="10" borderId="35" xfId="2" applyFont="1" applyFill="1" applyBorder="1" applyAlignment="1">
      <alignment horizontal="left" indent="1"/>
    </xf>
    <xf numFmtId="0" fontId="13" fillId="10" borderId="36" xfId="1" applyFont="1" applyFill="1" applyBorder="1"/>
    <xf numFmtId="0" fontId="13" fillId="10" borderId="37" xfId="1" applyFont="1" applyFill="1" applyBorder="1"/>
    <xf numFmtId="41" fontId="13" fillId="10" borderId="37" xfId="1" applyNumberFormat="1" applyFont="1" applyFill="1" applyBorder="1"/>
    <xf numFmtId="49" fontId="10" fillId="10" borderId="35" xfId="1" applyNumberFormat="1" applyFont="1" applyFill="1" applyBorder="1" applyAlignment="1">
      <alignment horizontal="center"/>
    </xf>
    <xf numFmtId="49" fontId="10" fillId="10" borderId="36" xfId="1" applyNumberFormat="1" applyFont="1" applyFill="1" applyBorder="1" applyAlignment="1">
      <alignment horizontal="center"/>
    </xf>
    <xf numFmtId="0" fontId="10" fillId="10" borderId="35" xfId="2" applyFont="1" applyFill="1" applyBorder="1" applyAlignment="1">
      <alignment horizontal="left" indent="1"/>
    </xf>
    <xf numFmtId="0" fontId="9" fillId="10" borderId="36" xfId="1" applyFont="1" applyFill="1" applyBorder="1"/>
    <xf numFmtId="0" fontId="9" fillId="10" borderId="37" xfId="1" applyFont="1" applyFill="1" applyBorder="1"/>
    <xf numFmtId="41" fontId="9" fillId="10" borderId="37" xfId="1" applyNumberFormat="1" applyFont="1" applyFill="1" applyBorder="1"/>
    <xf numFmtId="41" fontId="9" fillId="10" borderId="37" xfId="1" applyNumberFormat="1" applyFont="1" applyFill="1" applyBorder="1" applyAlignment="1">
      <alignment vertical="center"/>
    </xf>
    <xf numFmtId="49" fontId="10" fillId="10" borderId="36" xfId="1" quotePrefix="1" applyNumberFormat="1" applyFont="1" applyFill="1" applyBorder="1" applyAlignment="1">
      <alignment horizontal="center"/>
    </xf>
    <xf numFmtId="0" fontId="13" fillId="10" borderId="0" xfId="1" applyFont="1" applyFill="1"/>
    <xf numFmtId="41" fontId="13" fillId="10" borderId="37" xfId="1" applyNumberFormat="1" applyFont="1" applyFill="1" applyBorder="1" applyAlignment="1">
      <alignment vertical="center"/>
    </xf>
    <xf numFmtId="0" fontId="9" fillId="10" borderId="0" xfId="1" applyFont="1" applyFill="1"/>
    <xf numFmtId="37" fontId="10" fillId="10" borderId="47" xfId="3" applyNumberFormat="1" applyFont="1" applyFill="1" applyBorder="1">
      <alignment vertical="center"/>
    </xf>
    <xf numFmtId="41" fontId="36" fillId="10" borderId="22" xfId="0" applyNumberFormat="1" applyFont="1" applyFill="1" applyBorder="1"/>
    <xf numFmtId="3" fontId="10" fillId="10" borderId="76" xfId="3" applyNumberFormat="1" applyFont="1" applyFill="1" applyBorder="1" applyAlignment="1">
      <alignment horizontal="center" vertical="center" shrinkToFit="1"/>
    </xf>
    <xf numFmtId="41" fontId="9" fillId="0" borderId="37" xfId="1" applyNumberFormat="1" applyFont="1" applyBorder="1"/>
    <xf numFmtId="49" fontId="10" fillId="0" borderId="45" xfId="3" quotePrefix="1" applyNumberFormat="1" applyFont="1" applyBorder="1" applyAlignment="1">
      <alignment horizontal="center" vertical="center"/>
    </xf>
    <xf numFmtId="0" fontId="10" fillId="0" borderId="45" xfId="2" applyFont="1" applyBorder="1">
      <alignment vertical="center"/>
    </xf>
    <xf numFmtId="3" fontId="15" fillId="6" borderId="37" xfId="2" applyNumberFormat="1" applyFill="1" applyBorder="1" applyAlignment="1"/>
    <xf numFmtId="3" fontId="1" fillId="8" borderId="36" xfId="3" applyNumberFormat="1" applyFont="1" applyFill="1" applyBorder="1">
      <alignment vertical="center"/>
    </xf>
    <xf numFmtId="37" fontId="15" fillId="3" borderId="0" xfId="3" applyNumberFormat="1" applyFill="1" applyAlignment="1"/>
    <xf numFmtId="41" fontId="15" fillId="3" borderId="0" xfId="3" applyNumberFormat="1" applyFill="1" applyAlignment="1"/>
    <xf numFmtId="0" fontId="7" fillId="0" borderId="15" xfId="1" applyFont="1" applyBorder="1" applyAlignment="1">
      <alignment horizontal="left" vertical="center" wrapText="1"/>
    </xf>
    <xf numFmtId="0" fontId="7" fillId="0" borderId="14" xfId="1" applyFont="1" applyBorder="1" applyAlignment="1">
      <alignment horizontal="left" vertical="center" wrapText="1"/>
    </xf>
    <xf numFmtId="0" fontId="7" fillId="0" borderId="16" xfId="1" applyFont="1" applyBorder="1" applyAlignment="1">
      <alignment horizontal="left" vertical="center" wrapText="1"/>
    </xf>
    <xf numFmtId="0" fontId="7" fillId="0" borderId="19" xfId="1" applyFont="1" applyBorder="1" applyAlignment="1">
      <alignment horizontal="left" vertical="center" wrapText="1"/>
    </xf>
    <xf numFmtId="0" fontId="7" fillId="0" borderId="18" xfId="1" applyFont="1" applyBorder="1" applyAlignment="1">
      <alignment horizontal="left" vertical="center" wrapText="1"/>
    </xf>
    <xf numFmtId="0" fontId="7" fillId="0" borderId="20" xfId="1" applyFont="1" applyBorder="1" applyAlignment="1">
      <alignment horizontal="left" vertical="center" wrapText="1"/>
    </xf>
    <xf numFmtId="0" fontId="8" fillId="0" borderId="10" xfId="1" applyFont="1" applyBorder="1" applyAlignment="1">
      <alignment horizontal="center" vertical="center"/>
    </xf>
    <xf numFmtId="0" fontId="8" fillId="0" borderId="12" xfId="1" applyFont="1" applyBorder="1" applyAlignment="1">
      <alignment horizontal="center" vertical="center"/>
    </xf>
    <xf numFmtId="0" fontId="8" fillId="0" borderId="11" xfId="1" applyFont="1" applyBorder="1" applyAlignment="1">
      <alignment horizontal="center" vertical="center"/>
    </xf>
    <xf numFmtId="0" fontId="4" fillId="0" borderId="4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4" fillId="0" borderId="5" xfId="1" applyFont="1" applyBorder="1" applyAlignment="1">
      <alignment horizontal="center"/>
    </xf>
    <xf numFmtId="0" fontId="5" fillId="0" borderId="4" xfId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9" xfId="1" applyFont="1" applyBorder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0" fontId="5" fillId="0" borderId="11" xfId="1" applyFont="1" applyBorder="1" applyAlignment="1">
      <alignment horizontal="center" vertical="center"/>
    </xf>
    <xf numFmtId="0" fontId="9" fillId="0" borderId="19" xfId="1" applyFont="1" applyBorder="1" applyAlignment="1">
      <alignment horizontal="left" vertical="center" wrapText="1"/>
    </xf>
    <xf numFmtId="0" fontId="9" fillId="0" borderId="23" xfId="1" applyFont="1" applyBorder="1" applyAlignment="1">
      <alignment horizontal="left" vertical="center" wrapText="1"/>
    </xf>
    <xf numFmtId="0" fontId="7" fillId="0" borderId="4" xfId="1" applyFont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7" fillId="0" borderId="5" xfId="1" applyFont="1" applyBorder="1" applyAlignment="1">
      <alignment horizontal="center" vertical="center"/>
    </xf>
    <xf numFmtId="0" fontId="7" fillId="0" borderId="0" xfId="1" applyFont="1" applyAlignment="1">
      <alignment horizontal="left" vertical="center" wrapText="1"/>
    </xf>
    <xf numFmtId="0" fontId="7" fillId="0" borderId="5" xfId="1" applyFont="1" applyBorder="1" applyAlignment="1">
      <alignment horizontal="left" vertical="center" wrapText="1"/>
    </xf>
    <xf numFmtId="0" fontId="7" fillId="0" borderId="4" xfId="1" applyFont="1" applyBorder="1" applyAlignment="1">
      <alignment horizontal="center"/>
    </xf>
    <xf numFmtId="0" fontId="7" fillId="0" borderId="0" xfId="1" applyFont="1" applyAlignment="1">
      <alignment horizontal="center"/>
    </xf>
    <xf numFmtId="0" fontId="7" fillId="0" borderId="5" xfId="1" applyFont="1" applyBorder="1" applyAlignment="1">
      <alignment horizontal="center"/>
    </xf>
    <xf numFmtId="0" fontId="7" fillId="0" borderId="19" xfId="1" applyFont="1" applyBorder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0" fontId="7" fillId="0" borderId="23" xfId="1" applyFont="1" applyBorder="1" applyAlignment="1">
      <alignment horizontal="center" vertical="center"/>
    </xf>
    <xf numFmtId="0" fontId="7" fillId="0" borderId="19" xfId="1" applyFont="1" applyBorder="1" applyAlignment="1">
      <alignment horizontal="center" vertical="center" wrapText="1"/>
    </xf>
    <xf numFmtId="0" fontId="7" fillId="0" borderId="23" xfId="1" applyFont="1" applyBorder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0" fontId="8" fillId="0" borderId="5" xfId="1" applyFont="1" applyBorder="1" applyAlignment="1">
      <alignment horizontal="center" vertical="center"/>
    </xf>
    <xf numFmtId="0" fontId="14" fillId="0" borderId="18" xfId="1" applyFont="1" applyBorder="1" applyAlignment="1">
      <alignment horizontal="center"/>
    </xf>
    <xf numFmtId="0" fontId="14" fillId="0" borderId="23" xfId="1" applyFont="1" applyBorder="1" applyAlignment="1">
      <alignment horizontal="center"/>
    </xf>
    <xf numFmtId="0" fontId="11" fillId="0" borderId="26" xfId="1" applyFont="1" applyBorder="1" applyAlignment="1">
      <alignment horizontal="center" vertical="center" wrapText="1"/>
    </xf>
    <xf numFmtId="0" fontId="11" fillId="0" borderId="28" xfId="1" applyFont="1" applyBorder="1" applyAlignment="1">
      <alignment horizontal="center" vertical="center" wrapText="1"/>
    </xf>
    <xf numFmtId="0" fontId="11" fillId="0" borderId="31" xfId="1" applyFont="1" applyBorder="1" applyAlignment="1">
      <alignment horizontal="center" vertical="center" wrapText="1"/>
    </xf>
    <xf numFmtId="0" fontId="5" fillId="0" borderId="27" xfId="1" applyFont="1" applyBorder="1" applyAlignment="1">
      <alignment horizontal="center" vertical="center"/>
    </xf>
    <xf numFmtId="0" fontId="5" fillId="0" borderId="28" xfId="1" applyFont="1" applyBorder="1" applyAlignment="1">
      <alignment horizontal="center" vertical="center"/>
    </xf>
    <xf numFmtId="0" fontId="12" fillId="0" borderId="22" xfId="1" applyFont="1" applyBorder="1" applyAlignment="1">
      <alignment horizontal="center" vertical="center"/>
    </xf>
    <xf numFmtId="0" fontId="13" fillId="0" borderId="22" xfId="1" applyFont="1" applyBorder="1" applyAlignment="1">
      <alignment horizontal="center"/>
    </xf>
    <xf numFmtId="0" fontId="13" fillId="0" borderId="19" xfId="1" applyFont="1" applyBorder="1" applyAlignment="1">
      <alignment horizontal="center" vertical="center"/>
    </xf>
    <xf numFmtId="0" fontId="13" fillId="0" borderId="18" xfId="1" applyFont="1" applyBorder="1" applyAlignment="1">
      <alignment horizontal="center" vertical="center"/>
    </xf>
    <xf numFmtId="0" fontId="13" fillId="0" borderId="23" xfId="1" applyFont="1" applyBorder="1" applyAlignment="1">
      <alignment horizontal="center" vertical="center"/>
    </xf>
    <xf numFmtId="0" fontId="13" fillId="0" borderId="19" xfId="1" applyFont="1" applyBorder="1" applyAlignment="1">
      <alignment horizontal="center"/>
    </xf>
    <xf numFmtId="0" fontId="13" fillId="0" borderId="18" xfId="1" applyFont="1" applyBorder="1" applyAlignment="1">
      <alignment horizontal="center"/>
    </xf>
    <xf numFmtId="0" fontId="13" fillId="0" borderId="23" xfId="1" applyFont="1" applyBorder="1" applyAlignment="1">
      <alignment horizontal="center"/>
    </xf>
    <xf numFmtId="0" fontId="12" fillId="0" borderId="26" xfId="1" applyFont="1" applyBorder="1" applyAlignment="1">
      <alignment horizontal="center" vertical="center" wrapText="1"/>
    </xf>
    <xf numFmtId="0" fontId="12" fillId="0" borderId="28" xfId="1" applyFont="1" applyBorder="1" applyAlignment="1">
      <alignment horizontal="center" vertical="center" wrapText="1"/>
    </xf>
    <xf numFmtId="0" fontId="11" fillId="0" borderId="24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1" fillId="0" borderId="26" xfId="1" applyFont="1" applyBorder="1" applyAlignment="1">
      <alignment horizontal="center" vertical="center"/>
    </xf>
    <xf numFmtId="0" fontId="11" fillId="0" borderId="27" xfId="1" applyFont="1" applyBorder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1" fillId="0" borderId="28" xfId="1" applyFont="1" applyBorder="1" applyAlignment="1">
      <alignment horizontal="center" vertical="center"/>
    </xf>
    <xf numFmtId="0" fontId="11" fillId="0" borderId="29" xfId="1" applyFont="1" applyBorder="1" applyAlignment="1">
      <alignment horizontal="center" vertical="center"/>
    </xf>
    <xf numFmtId="0" fontId="11" fillId="0" borderId="30" xfId="1" applyFont="1" applyBorder="1" applyAlignment="1">
      <alignment horizontal="center" vertical="center"/>
    </xf>
    <xf numFmtId="0" fontId="11" fillId="0" borderId="31" xfId="1" applyFont="1" applyBorder="1" applyAlignment="1">
      <alignment horizontal="center" vertical="center"/>
    </xf>
    <xf numFmtId="0" fontId="11" fillId="0" borderId="24" xfId="1" applyFont="1" applyBorder="1" applyAlignment="1">
      <alignment horizontal="center" vertical="center" wrapText="1"/>
    </xf>
    <xf numFmtId="0" fontId="11" fillId="0" borderId="25" xfId="1" applyFont="1" applyBorder="1" applyAlignment="1">
      <alignment horizontal="center" vertical="center" wrapText="1"/>
    </xf>
    <xf numFmtId="0" fontId="11" fillId="0" borderId="27" xfId="1" applyFont="1" applyBorder="1" applyAlignment="1">
      <alignment horizontal="center" vertical="center" wrapText="1"/>
    </xf>
    <xf numFmtId="0" fontId="11" fillId="0" borderId="0" xfId="1" applyFont="1" applyAlignment="1">
      <alignment horizontal="center" vertical="center" wrapText="1"/>
    </xf>
    <xf numFmtId="0" fontId="10" fillId="0" borderId="17" xfId="3" applyFont="1" applyBorder="1" applyAlignment="1">
      <alignment horizontal="center" vertical="center"/>
    </xf>
    <xf numFmtId="0" fontId="10" fillId="0" borderId="18" xfId="3" applyFont="1" applyBorder="1" applyAlignment="1">
      <alignment horizontal="center" vertical="center"/>
    </xf>
    <xf numFmtId="0" fontId="10" fillId="0" borderId="20" xfId="3" applyFont="1" applyBorder="1" applyAlignment="1">
      <alignment horizontal="center" vertical="center"/>
    </xf>
    <xf numFmtId="0" fontId="17" fillId="2" borderId="27" xfId="3" applyFont="1" applyFill="1" applyBorder="1" applyAlignment="1">
      <alignment horizontal="center" vertical="top"/>
    </xf>
    <xf numFmtId="0" fontId="17" fillId="2" borderId="0" xfId="3" applyFont="1" applyFill="1" applyAlignment="1">
      <alignment horizontal="center" vertical="top"/>
    </xf>
    <xf numFmtId="0" fontId="17" fillId="2" borderId="5" xfId="3" applyFont="1" applyFill="1" applyBorder="1" applyAlignment="1">
      <alignment horizontal="center" vertical="top"/>
    </xf>
    <xf numFmtId="0" fontId="21" fillId="2" borderId="4" xfId="3" applyFont="1" applyFill="1" applyBorder="1" applyAlignment="1">
      <alignment horizontal="center" vertical="center"/>
    </xf>
    <xf numFmtId="0" fontId="21" fillId="2" borderId="0" xfId="3" applyFont="1" applyFill="1" applyAlignment="1">
      <alignment horizontal="center" vertical="center"/>
    </xf>
    <xf numFmtId="0" fontId="21" fillId="2" borderId="5" xfId="3" applyFont="1" applyFill="1" applyBorder="1" applyAlignment="1">
      <alignment horizontal="center" vertical="center"/>
    </xf>
    <xf numFmtId="0" fontId="21" fillId="2" borderId="50" xfId="3" applyFont="1" applyFill="1" applyBorder="1" applyAlignment="1">
      <alignment horizontal="center" vertical="center"/>
    </xf>
    <xf numFmtId="0" fontId="21" fillId="2" borderId="30" xfId="3" applyFont="1" applyFill="1" applyBorder="1" applyAlignment="1">
      <alignment horizontal="center" vertical="center"/>
    </xf>
    <xf numFmtId="0" fontId="21" fillId="2" borderId="51" xfId="3" applyFont="1" applyFill="1" applyBorder="1" applyAlignment="1">
      <alignment horizontal="center" vertical="center"/>
    </xf>
    <xf numFmtId="0" fontId="10" fillId="2" borderId="52" xfId="3" applyFont="1" applyFill="1" applyBorder="1" applyAlignment="1">
      <alignment horizontal="left" vertical="center"/>
    </xf>
    <xf numFmtId="0" fontId="10" fillId="2" borderId="25" xfId="3" applyFont="1" applyFill="1" applyBorder="1" applyAlignment="1">
      <alignment horizontal="left" vertical="center"/>
    </xf>
    <xf numFmtId="0" fontId="10" fillId="2" borderId="17" xfId="3" applyFont="1" applyFill="1" applyBorder="1" applyAlignment="1">
      <alignment horizontal="left" vertical="center"/>
    </xf>
    <xf numFmtId="0" fontId="10" fillId="2" borderId="18" xfId="3" applyFont="1" applyFill="1" applyBorder="1" applyAlignment="1">
      <alignment horizontal="left" vertical="center"/>
    </xf>
    <xf numFmtId="3" fontId="10" fillId="0" borderId="19" xfId="2" applyNumberFormat="1" applyFont="1" applyBorder="1" applyAlignment="1">
      <alignment horizontal="left" vertical="center"/>
    </xf>
    <xf numFmtId="3" fontId="10" fillId="0" borderId="18" xfId="2" applyNumberFormat="1" applyFont="1" applyBorder="1" applyAlignment="1">
      <alignment horizontal="left" vertical="center"/>
    </xf>
    <xf numFmtId="3" fontId="10" fillId="0" borderId="20" xfId="2" applyNumberFormat="1" applyFont="1" applyBorder="1" applyAlignment="1">
      <alignment horizontal="left" vertical="center"/>
    </xf>
    <xf numFmtId="0" fontId="10" fillId="2" borderId="50" xfId="3" applyFont="1" applyFill="1" applyBorder="1" applyAlignment="1">
      <alignment horizontal="center" vertical="center"/>
    </xf>
    <xf numFmtId="0" fontId="10" fillId="2" borderId="30" xfId="3" applyFont="1" applyFill="1" applyBorder="1" applyAlignment="1">
      <alignment horizontal="center" vertical="center"/>
    </xf>
    <xf numFmtId="0" fontId="10" fillId="2" borderId="31" xfId="3" applyFont="1" applyFill="1" applyBorder="1" applyAlignment="1">
      <alignment horizontal="center" vertical="center"/>
    </xf>
    <xf numFmtId="0" fontId="10" fillId="2" borderId="29" xfId="3" applyFont="1" applyFill="1" applyBorder="1" applyAlignment="1">
      <alignment horizontal="center" vertical="center"/>
    </xf>
    <xf numFmtId="0" fontId="10" fillId="2" borderId="51" xfId="3" applyFont="1" applyFill="1" applyBorder="1" applyAlignment="1">
      <alignment horizontal="center" vertical="center"/>
    </xf>
    <xf numFmtId="0" fontId="10" fillId="2" borderId="23" xfId="3" applyFont="1" applyFill="1" applyBorder="1" applyAlignment="1">
      <alignment horizontal="left" vertical="center"/>
    </xf>
    <xf numFmtId="0" fontId="10" fillId="2" borderId="26" xfId="3" applyFont="1" applyFill="1" applyBorder="1" applyAlignment="1">
      <alignment horizontal="left" vertical="center"/>
    </xf>
    <xf numFmtId="0" fontId="10" fillId="2" borderId="4" xfId="3" applyFont="1" applyFill="1" applyBorder="1" applyAlignment="1">
      <alignment horizontal="left" vertical="center"/>
    </xf>
    <xf numFmtId="0" fontId="10" fillId="2" borderId="0" xfId="3" applyFont="1" applyFill="1" applyAlignment="1">
      <alignment horizontal="left" vertical="center"/>
    </xf>
    <xf numFmtId="0" fontId="10" fillId="2" borderId="28" xfId="3" applyFont="1" applyFill="1" applyBorder="1" applyAlignment="1">
      <alignment horizontal="left" vertical="center"/>
    </xf>
    <xf numFmtId="0" fontId="10" fillId="2" borderId="50" xfId="3" applyFont="1" applyFill="1" applyBorder="1" applyAlignment="1">
      <alignment horizontal="left" vertical="center"/>
    </xf>
    <xf numFmtId="0" fontId="10" fillId="2" borderId="30" xfId="3" applyFont="1" applyFill="1" applyBorder="1" applyAlignment="1">
      <alignment horizontal="left" vertical="center"/>
    </xf>
    <xf numFmtId="0" fontId="10" fillId="2" borderId="31" xfId="3" applyFont="1" applyFill="1" applyBorder="1" applyAlignment="1">
      <alignment horizontal="left" vertical="center"/>
    </xf>
    <xf numFmtId="39" fontId="10" fillId="0" borderId="24" xfId="2" applyNumberFormat="1" applyFont="1" applyBorder="1" applyAlignment="1">
      <alignment horizontal="left" shrinkToFit="1"/>
    </xf>
    <xf numFmtId="39" fontId="10" fillId="0" borderId="25" xfId="2" applyNumberFormat="1" applyFont="1" applyBorder="1" applyAlignment="1">
      <alignment horizontal="left" shrinkToFit="1"/>
    </xf>
    <xf numFmtId="39" fontId="10" fillId="0" borderId="53" xfId="2" applyNumberFormat="1" applyFont="1" applyBorder="1" applyAlignment="1">
      <alignment horizontal="left" shrinkToFit="1"/>
    </xf>
    <xf numFmtId="39" fontId="10" fillId="0" borderId="27" xfId="2" applyNumberFormat="1" applyFont="1" applyBorder="1" applyAlignment="1">
      <alignment horizontal="left" shrinkToFit="1"/>
    </xf>
    <xf numFmtId="39" fontId="10" fillId="0" borderId="0" xfId="2" applyNumberFormat="1" applyFont="1" applyAlignment="1">
      <alignment horizontal="left" shrinkToFit="1"/>
    </xf>
    <xf numFmtId="39" fontId="10" fillId="0" borderId="5" xfId="2" applyNumberFormat="1" applyFont="1" applyBorder="1" applyAlignment="1">
      <alignment horizontal="left" shrinkToFit="1"/>
    </xf>
    <xf numFmtId="39" fontId="10" fillId="0" borderId="29" xfId="2" applyNumberFormat="1" applyFont="1" applyBorder="1" applyAlignment="1">
      <alignment horizontal="left" shrinkToFit="1"/>
    </xf>
    <xf numFmtId="39" fontId="10" fillId="0" borderId="30" xfId="2" applyNumberFormat="1" applyFont="1" applyBorder="1" applyAlignment="1">
      <alignment horizontal="left" shrinkToFit="1"/>
    </xf>
    <xf numFmtId="39" fontId="10" fillId="0" borderId="51" xfId="2" applyNumberFormat="1" applyFont="1" applyBorder="1" applyAlignment="1">
      <alignment horizontal="left" shrinkToFit="1"/>
    </xf>
    <xf numFmtId="0" fontId="10" fillId="0" borderId="18" xfId="2" applyFont="1" applyBorder="1" applyAlignment="1">
      <alignment horizontal="left" wrapText="1"/>
    </xf>
    <xf numFmtId="0" fontId="10" fillId="0" borderId="23" xfId="2" applyFont="1" applyBorder="1" applyAlignment="1">
      <alignment horizontal="left" wrapText="1"/>
    </xf>
    <xf numFmtId="0" fontId="10" fillId="2" borderId="50" xfId="3" applyFont="1" applyFill="1" applyBorder="1" applyAlignment="1">
      <alignment vertical="center" wrapText="1"/>
    </xf>
    <xf numFmtId="0" fontId="10" fillId="2" borderId="30" xfId="3" applyFont="1" applyFill="1" applyBorder="1" applyAlignment="1">
      <alignment vertical="center" wrapText="1"/>
    </xf>
    <xf numFmtId="0" fontId="10" fillId="2" borderId="31" xfId="3" applyFont="1" applyFill="1" applyBorder="1" applyAlignment="1">
      <alignment vertical="center" wrapText="1"/>
    </xf>
    <xf numFmtId="0" fontId="14" fillId="0" borderId="52" xfId="3" applyFont="1" applyBorder="1" applyAlignment="1">
      <alignment horizontal="center" vertical="center"/>
    </xf>
    <xf numFmtId="0" fontId="14" fillId="0" borderId="25" xfId="3" applyFont="1" applyBorder="1" applyAlignment="1">
      <alignment horizontal="center" vertical="center"/>
    </xf>
    <xf numFmtId="0" fontId="14" fillId="0" borderId="53" xfId="3" applyFont="1" applyBorder="1" applyAlignment="1">
      <alignment horizontal="center" vertical="center"/>
    </xf>
    <xf numFmtId="0" fontId="14" fillId="0" borderId="6" xfId="3" applyFont="1" applyBorder="1" applyAlignment="1">
      <alignment horizontal="center" vertical="center"/>
    </xf>
    <xf numFmtId="0" fontId="14" fillId="0" borderId="7" xfId="3" applyFont="1" applyBorder="1" applyAlignment="1">
      <alignment horizontal="center" vertical="center"/>
    </xf>
    <xf numFmtId="0" fontId="14" fillId="0" borderId="8" xfId="3" applyFont="1" applyBorder="1" applyAlignment="1">
      <alignment horizontal="center" vertical="center"/>
    </xf>
    <xf numFmtId="0" fontId="10" fillId="0" borderId="1" xfId="3" applyFont="1" applyBorder="1" applyAlignment="1">
      <alignment horizontal="center" vertical="center" wrapText="1"/>
    </xf>
    <xf numFmtId="0" fontId="10" fillId="0" borderId="2" xfId="3" applyFont="1" applyBorder="1" applyAlignment="1">
      <alignment horizontal="center" vertical="center" wrapText="1"/>
    </xf>
    <xf numFmtId="0" fontId="10" fillId="0" borderId="54" xfId="3" applyFont="1" applyBorder="1" applyAlignment="1">
      <alignment horizontal="center" vertical="center" wrapText="1"/>
    </xf>
    <xf numFmtId="0" fontId="10" fillId="0" borderId="4" xfId="3" applyFont="1" applyBorder="1" applyAlignment="1">
      <alignment horizontal="center" vertical="center" wrapText="1"/>
    </xf>
    <xf numFmtId="0" fontId="10" fillId="0" borderId="0" xfId="3" applyFont="1" applyAlignment="1">
      <alignment horizontal="center" vertical="center" wrapText="1"/>
    </xf>
    <xf numFmtId="0" fontId="10" fillId="0" borderId="28" xfId="3" applyFont="1" applyBorder="1" applyAlignment="1">
      <alignment horizontal="center" vertical="center" wrapText="1"/>
    </xf>
    <xf numFmtId="0" fontId="10" fillId="0" borderId="6" xfId="3" applyFont="1" applyBorder="1" applyAlignment="1">
      <alignment horizontal="center" vertical="center" wrapText="1"/>
    </xf>
    <xf numFmtId="0" fontId="10" fillId="0" borderId="7" xfId="3" applyFont="1" applyBorder="1" applyAlignment="1">
      <alignment horizontal="center" vertical="center" wrapText="1"/>
    </xf>
    <xf numFmtId="0" fontId="10" fillId="0" borderId="62" xfId="3" applyFont="1" applyBorder="1" applyAlignment="1">
      <alignment horizontal="center" vertical="center" wrapText="1"/>
    </xf>
    <xf numFmtId="0" fontId="10" fillId="0" borderId="48" xfId="3" applyFont="1" applyBorder="1" applyAlignment="1">
      <alignment horizontal="center" vertical="center" wrapText="1"/>
    </xf>
    <xf numFmtId="0" fontId="10" fillId="0" borderId="27" xfId="3" applyFont="1" applyBorder="1" applyAlignment="1">
      <alignment horizontal="center" vertical="center" wrapText="1"/>
    </xf>
    <xf numFmtId="0" fontId="10" fillId="0" borderId="49" xfId="3" applyFont="1" applyBorder="1" applyAlignment="1">
      <alignment horizontal="center" vertical="center" wrapText="1"/>
    </xf>
    <xf numFmtId="0" fontId="10" fillId="0" borderId="55" xfId="3" applyFont="1" applyBorder="1" applyAlignment="1">
      <alignment horizontal="center" vertical="center" wrapText="1"/>
    </xf>
    <xf numFmtId="0" fontId="10" fillId="0" borderId="57" xfId="3" applyFont="1" applyBorder="1" applyAlignment="1">
      <alignment horizontal="center" vertical="center" wrapText="1"/>
    </xf>
    <xf numFmtId="0" fontId="10" fillId="0" borderId="56" xfId="3" applyFont="1" applyBorder="1" applyAlignment="1">
      <alignment horizontal="center" vertical="center" wrapText="1"/>
    </xf>
    <xf numFmtId="0" fontId="10" fillId="0" borderId="58" xfId="3" applyFont="1" applyBorder="1" applyAlignment="1">
      <alignment horizontal="center" vertical="center" wrapText="1"/>
    </xf>
    <xf numFmtId="0" fontId="10" fillId="0" borderId="65" xfId="3" applyFont="1" applyBorder="1" applyAlignment="1">
      <alignment horizontal="center" vertical="center" wrapText="1"/>
    </xf>
    <xf numFmtId="0" fontId="10" fillId="0" borderId="24" xfId="3" applyFont="1" applyBorder="1" applyAlignment="1">
      <alignment horizontal="center" vertical="center" wrapText="1"/>
    </xf>
    <xf numFmtId="0" fontId="10" fillId="0" borderId="25" xfId="3" applyFont="1" applyBorder="1" applyAlignment="1">
      <alignment horizontal="center" vertical="center" wrapText="1"/>
    </xf>
    <xf numFmtId="0" fontId="10" fillId="0" borderId="26" xfId="3" applyFont="1" applyBorder="1" applyAlignment="1">
      <alignment horizontal="center" vertical="center" wrapText="1"/>
    </xf>
    <xf numFmtId="0" fontId="10" fillId="0" borderId="59" xfId="3" applyFont="1" applyBorder="1" applyAlignment="1">
      <alignment horizontal="center" vertical="center" wrapText="1"/>
    </xf>
    <xf numFmtId="0" fontId="10" fillId="0" borderId="60" xfId="3" applyFont="1" applyBorder="1" applyAlignment="1">
      <alignment horizontal="center" vertical="center" wrapText="1"/>
    </xf>
    <xf numFmtId="0" fontId="10" fillId="0" borderId="63" xfId="3" applyFont="1" applyBorder="1" applyAlignment="1">
      <alignment horizontal="center" vertical="center" wrapText="1"/>
    </xf>
    <xf numFmtId="0" fontId="10" fillId="0" borderId="57" xfId="3" applyFont="1" applyBorder="1" applyAlignment="1">
      <alignment horizontal="center" vertical="top" wrapText="1"/>
    </xf>
    <xf numFmtId="0" fontId="10" fillId="0" borderId="64" xfId="3" applyFont="1" applyBorder="1" applyAlignment="1">
      <alignment horizontal="center" vertical="top" wrapText="1"/>
    </xf>
    <xf numFmtId="0" fontId="22" fillId="4" borderId="2" xfId="3" applyFont="1" applyFill="1" applyBorder="1" applyAlignment="1">
      <alignment horizontal="center" vertical="center"/>
    </xf>
    <xf numFmtId="0" fontId="22" fillId="4" borderId="3" xfId="3" applyFont="1" applyFill="1" applyBorder="1" applyAlignment="1">
      <alignment horizontal="center" vertical="center"/>
    </xf>
    <xf numFmtId="0" fontId="22" fillId="4" borderId="0" xfId="3" applyFont="1" applyFill="1" applyAlignment="1">
      <alignment horizontal="center" vertical="center"/>
    </xf>
    <xf numFmtId="0" fontId="22" fillId="4" borderId="5" xfId="3" applyFont="1" applyFill="1" applyBorder="1" applyAlignment="1">
      <alignment horizontal="center" vertical="center"/>
    </xf>
    <xf numFmtId="0" fontId="22" fillId="4" borderId="7" xfId="3" applyFont="1" applyFill="1" applyBorder="1" applyAlignment="1">
      <alignment horizontal="center" vertical="center"/>
    </xf>
    <xf numFmtId="0" fontId="22" fillId="4" borderId="8" xfId="3" applyFont="1" applyFill="1" applyBorder="1" applyAlignment="1">
      <alignment horizontal="center" vertical="center"/>
    </xf>
    <xf numFmtId="0" fontId="0" fillId="0" borderId="56" xfId="3" applyFont="1" applyBorder="1" applyAlignment="1">
      <alignment horizontal="center" vertical="center"/>
    </xf>
    <xf numFmtId="0" fontId="0" fillId="0" borderId="58" xfId="3" applyFont="1" applyBorder="1" applyAlignment="1">
      <alignment horizontal="center" vertical="center"/>
    </xf>
    <xf numFmtId="0" fontId="0" fillId="0" borderId="65" xfId="3" applyFont="1" applyBorder="1" applyAlignment="1">
      <alignment horizontal="center" vertical="center"/>
    </xf>
    <xf numFmtId="0" fontId="22" fillId="4" borderId="1" xfId="3" applyFont="1" applyFill="1" applyBorder="1" applyAlignment="1">
      <alignment horizontal="center" vertical="center"/>
    </xf>
    <xf numFmtId="0" fontId="22" fillId="4" borderId="4" xfId="3" applyFont="1" applyFill="1" applyBorder="1" applyAlignment="1">
      <alignment horizontal="center" vertical="center"/>
    </xf>
    <xf numFmtId="0" fontId="22" fillId="4" borderId="6" xfId="3" applyFont="1" applyFill="1" applyBorder="1" applyAlignment="1">
      <alignment horizontal="center" vertical="center"/>
    </xf>
    <xf numFmtId="0" fontId="0" fillId="5" borderId="56" xfId="3" applyFont="1" applyFill="1" applyBorder="1" applyAlignment="1">
      <alignment horizontal="center" vertical="center"/>
    </xf>
    <xf numFmtId="0" fontId="0" fillId="5" borderId="58" xfId="3" applyFont="1" applyFill="1" applyBorder="1" applyAlignment="1">
      <alignment horizontal="center" vertical="center"/>
    </xf>
    <xf numFmtId="0" fontId="0" fillId="5" borderId="65" xfId="3" applyFont="1" applyFill="1" applyBorder="1" applyAlignment="1">
      <alignment horizontal="center" vertical="center"/>
    </xf>
    <xf numFmtId="0" fontId="23" fillId="8" borderId="61" xfId="3" quotePrefix="1" applyFont="1" applyFill="1" applyBorder="1" applyAlignment="1">
      <alignment horizontal="center"/>
    </xf>
    <xf numFmtId="0" fontId="23" fillId="8" borderId="61" xfId="3" applyFont="1" applyFill="1" applyBorder="1" applyAlignment="1">
      <alignment horizontal="center"/>
    </xf>
    <xf numFmtId="0" fontId="23" fillId="6" borderId="11" xfId="3" quotePrefix="1" applyFont="1" applyFill="1" applyBorder="1" applyAlignment="1">
      <alignment horizontal="center"/>
    </xf>
    <xf numFmtId="0" fontId="23" fillId="6" borderId="11" xfId="3" applyFont="1" applyFill="1" applyBorder="1" applyAlignment="1">
      <alignment horizontal="center"/>
    </xf>
    <xf numFmtId="0" fontId="23" fillId="6" borderId="61" xfId="3" quotePrefix="1" applyFont="1" applyFill="1" applyBorder="1" applyAlignment="1">
      <alignment horizontal="center"/>
    </xf>
    <xf numFmtId="0" fontId="23" fillId="6" borderId="61" xfId="3" applyFont="1" applyFill="1" applyBorder="1" applyAlignment="1">
      <alignment horizontal="center"/>
    </xf>
    <xf numFmtId="0" fontId="23" fillId="7" borderId="61" xfId="3" quotePrefix="1" applyFont="1" applyFill="1" applyBorder="1" applyAlignment="1">
      <alignment horizontal="center"/>
    </xf>
    <xf numFmtId="0" fontId="23" fillId="7" borderId="61" xfId="3" applyFont="1" applyFill="1" applyBorder="1" applyAlignment="1">
      <alignment horizontal="center"/>
    </xf>
    <xf numFmtId="3" fontId="10" fillId="2" borderId="30" xfId="3" applyNumberFormat="1" applyFont="1" applyFill="1" applyBorder="1" applyAlignment="1">
      <alignment horizontal="left" vertical="center"/>
    </xf>
    <xf numFmtId="3" fontId="10" fillId="2" borderId="0" xfId="3" applyNumberFormat="1" applyFont="1" applyFill="1" applyAlignment="1">
      <alignment horizontal="left" vertical="center"/>
    </xf>
    <xf numFmtId="0" fontId="10" fillId="2" borderId="50" xfId="3" applyFont="1" applyFill="1" applyBorder="1" applyAlignment="1">
      <alignment horizontal="center" vertical="center" wrapText="1"/>
    </xf>
    <xf numFmtId="0" fontId="10" fillId="2" borderId="30" xfId="3" applyFont="1" applyFill="1" applyBorder="1" applyAlignment="1">
      <alignment horizontal="center" vertical="center" wrapText="1"/>
    </xf>
    <xf numFmtId="0" fontId="10" fillId="2" borderId="31" xfId="3" applyFont="1" applyFill="1" applyBorder="1" applyAlignment="1">
      <alignment horizontal="center" vertical="center" wrapText="1"/>
    </xf>
    <xf numFmtId="0" fontId="10" fillId="0" borderId="15" xfId="3" applyFont="1" applyBorder="1" applyAlignment="1">
      <alignment horizontal="center" vertical="center" wrapText="1"/>
    </xf>
    <xf numFmtId="0" fontId="10" fillId="0" borderId="14" xfId="3" applyFont="1" applyBorder="1" applyAlignment="1">
      <alignment horizontal="center" vertical="center" wrapText="1"/>
    </xf>
    <xf numFmtId="0" fontId="10" fillId="0" borderId="66" xfId="3" applyFont="1" applyBorder="1" applyAlignment="1">
      <alignment horizontal="center" vertical="center" wrapText="1"/>
    </xf>
    <xf numFmtId="37" fontId="0" fillId="3" borderId="0" xfId="3" applyNumberFormat="1" applyFont="1" applyFill="1" applyAlignment="1">
      <alignment horizontal="left" vertical="center"/>
    </xf>
    <xf numFmtId="0" fontId="1" fillId="0" borderId="59" xfId="5" applyBorder="1" applyAlignment="1">
      <alignment horizontal="center" vertical="top" wrapText="1"/>
    </xf>
    <xf numFmtId="0" fontId="1" fillId="0" borderId="60" xfId="5" applyBorder="1" applyAlignment="1">
      <alignment horizontal="center" vertical="top" wrapText="1"/>
    </xf>
    <xf numFmtId="0" fontId="1" fillId="0" borderId="41" xfId="5" applyBorder="1" applyAlignment="1">
      <alignment horizontal="center" vertical="top" wrapText="1"/>
    </xf>
    <xf numFmtId="0" fontId="1" fillId="0" borderId="26" xfId="5" applyBorder="1" applyAlignment="1">
      <alignment horizontal="left" vertical="top" wrapText="1"/>
    </xf>
    <xf numFmtId="0" fontId="1" fillId="0" borderId="28" xfId="5" applyBorder="1" applyAlignment="1">
      <alignment horizontal="left" vertical="top" wrapText="1"/>
    </xf>
    <xf numFmtId="0" fontId="1" fillId="0" borderId="31" xfId="5" applyBorder="1" applyAlignment="1">
      <alignment horizontal="left" vertical="top" wrapText="1"/>
    </xf>
    <xf numFmtId="0" fontId="1" fillId="0" borderId="59" xfId="5" applyBorder="1" applyAlignment="1">
      <alignment horizontal="left" vertical="top" wrapText="1"/>
    </xf>
    <xf numFmtId="0" fontId="1" fillId="0" borderId="60" xfId="5" applyBorder="1" applyAlignment="1">
      <alignment horizontal="left" vertical="top" wrapText="1"/>
    </xf>
    <xf numFmtId="0" fontId="1" fillId="0" borderId="41" xfId="5" applyBorder="1" applyAlignment="1">
      <alignment horizontal="left" vertical="top" wrapText="1"/>
    </xf>
    <xf numFmtId="0" fontId="29" fillId="0" borderId="0" xfId="5" applyFont="1" applyAlignment="1">
      <alignment horizontal="center" vertical="top" wrapText="1"/>
    </xf>
  </cellXfs>
  <cellStyles count="6">
    <cellStyle name="Comma 2" xfId="4" xr:uid="{4DD7E49C-A846-4CA9-98C2-524A444CEB0B}"/>
    <cellStyle name="Normal" xfId="0" builtinId="0"/>
    <cellStyle name="Normal 2" xfId="5" xr:uid="{349E3D0E-8227-4B9A-BF6E-51BAF4D068D9}"/>
    <cellStyle name="Normal 3" xfId="1" xr:uid="{8CEEA412-E673-4871-A1C1-E4481836BF55}"/>
    <cellStyle name="Normal 3 2" xfId="2" xr:uid="{BA1DBFF6-C52D-44CD-94E5-8526122480A4}"/>
    <cellStyle name="Normal_23.01 BOS" xfId="3" xr:uid="{A678BC54-0D44-4660-A540-459A620DC58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219075</xdr:colOff>
      <xdr:row>0</xdr:row>
      <xdr:rowOff>123825</xdr:rowOff>
    </xdr:from>
    <xdr:to>
      <xdr:col>6</xdr:col>
      <xdr:colOff>447675</xdr:colOff>
      <xdr:row>6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7AF495-2A06-4E34-959E-09B23216D1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9400" y="123825"/>
          <a:ext cx="838200" cy="1162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200025</xdr:colOff>
      <xdr:row>0</xdr:row>
      <xdr:rowOff>133350</xdr:rowOff>
    </xdr:from>
    <xdr:to>
      <xdr:col>6</xdr:col>
      <xdr:colOff>257175</xdr:colOff>
      <xdr:row>6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351D80-C0C2-4BC9-88B9-2109D1991A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8950" y="133350"/>
          <a:ext cx="838200" cy="1162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161193</xdr:colOff>
      <xdr:row>16</xdr:row>
      <xdr:rowOff>212481</xdr:rowOff>
    </xdr:from>
    <xdr:to>
      <xdr:col>4</xdr:col>
      <xdr:colOff>277151</xdr:colOff>
      <xdr:row>21</xdr:row>
      <xdr:rowOff>36635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2BEA00F-9C93-6003-75FB-80E8845796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9328" y="3773366"/>
          <a:ext cx="1720554" cy="10330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171451</xdr:colOff>
      <xdr:row>1</xdr:row>
      <xdr:rowOff>66673</xdr:rowOff>
    </xdr:from>
    <xdr:to>
      <xdr:col>9</xdr:col>
      <xdr:colOff>800101</xdr:colOff>
      <xdr:row>5</xdr:row>
      <xdr:rowOff>180974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6D9A9A4-EFA4-47E2-AD9F-082E959D8880}"/>
            </a:ext>
          </a:extLst>
        </xdr:cNvPr>
        <xdr:cNvSpPr txBox="1"/>
      </xdr:nvSpPr>
      <xdr:spPr>
        <a:xfrm>
          <a:off x="1076326" y="257173"/>
          <a:ext cx="3771900" cy="87630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>
              <a:latin typeface="Times New Roman" panose="02020603050405020304" pitchFamily="18" charset="0"/>
              <a:cs typeface="Times New Roman" panose="02020603050405020304" pitchFamily="18" charset="0"/>
            </a:rPr>
            <a:t>DOKUMEN PELAKSANAAN</a:t>
          </a:r>
        </a:p>
        <a:p>
          <a:pPr algn="ctr"/>
          <a:r>
            <a:rPr lang="en-US" sz="1600" b="1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6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KEGIATAN </a:t>
          </a:r>
          <a:r>
            <a:rPr lang="en-US" sz="1600" b="1">
              <a:latin typeface="Times New Roman" panose="02020603050405020304" pitchFamily="18" charset="0"/>
              <a:cs typeface="Times New Roman" panose="02020603050405020304" pitchFamily="18" charset="0"/>
            </a:rPr>
            <a:t>SATUAN PENDIDIKAN</a:t>
          </a:r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4</xdr:col>
      <xdr:colOff>190500</xdr:colOff>
      <xdr:row>6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05240F8-230B-4E3F-A09D-4FC6A56AC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76200"/>
          <a:ext cx="838200" cy="1162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209550</xdr:colOff>
      <xdr:row>39</xdr:row>
      <xdr:rowOff>104775</xdr:rowOff>
    </xdr:from>
    <xdr:to>
      <xdr:col>5</xdr:col>
      <xdr:colOff>285750</xdr:colOff>
      <xdr:row>43</xdr:row>
      <xdr:rowOff>162559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2D9490A-ECCD-4E3C-A04E-E051BD5D7F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8505825"/>
          <a:ext cx="1428750" cy="85788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9524</xdr:colOff>
      <xdr:row>1</xdr:row>
      <xdr:rowOff>66674</xdr:rowOff>
    </xdr:from>
    <xdr:to>
      <xdr:col>10</xdr:col>
      <xdr:colOff>676275</xdr:colOff>
      <xdr:row>4</xdr:row>
      <xdr:rowOff>142876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545E160-F0F9-48EC-89C3-D5ADB43FC78E}"/>
            </a:ext>
          </a:extLst>
        </xdr:cNvPr>
        <xdr:cNvSpPr txBox="1"/>
      </xdr:nvSpPr>
      <xdr:spPr>
        <a:xfrm>
          <a:off x="1419224" y="257174"/>
          <a:ext cx="3886201" cy="64770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>
              <a:latin typeface="Times New Roman" panose="02020603050405020304" pitchFamily="18" charset="0"/>
              <a:cs typeface="Times New Roman" panose="02020603050405020304" pitchFamily="18" charset="0"/>
            </a:rPr>
            <a:t>DOKUMEN PELAKSANAAN</a:t>
          </a:r>
        </a:p>
        <a:p>
          <a:pPr algn="ctr"/>
          <a:r>
            <a:rPr lang="en-US" sz="1600" b="1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6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KEGIATAN </a:t>
          </a:r>
          <a:r>
            <a:rPr lang="en-US" sz="1600" b="1">
              <a:latin typeface="Times New Roman" panose="02020603050405020304" pitchFamily="18" charset="0"/>
              <a:cs typeface="Times New Roman" panose="02020603050405020304" pitchFamily="18" charset="0"/>
            </a:rPr>
            <a:t>SATUAN PENDIDIKAN</a:t>
          </a:r>
        </a:p>
      </xdr:txBody>
    </xdr:sp>
    <xdr:clientData/>
  </xdr:twoCellAnchor>
  <xdr:twoCellAnchor editAs="oneCell">
    <xdr:from>
      <xdr:col>2</xdr:col>
      <xdr:colOff>142875</xdr:colOff>
      <xdr:row>0</xdr:row>
      <xdr:rowOff>66675</xdr:rowOff>
    </xdr:from>
    <xdr:to>
      <xdr:col>5</xdr:col>
      <xdr:colOff>495300</xdr:colOff>
      <xdr:row>6</xdr:row>
      <xdr:rowOff>85725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2634AD7-648C-47E4-B52E-545B79F7EB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66675"/>
          <a:ext cx="838200" cy="1162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28575</xdr:colOff>
      <xdr:row>44</xdr:row>
      <xdr:rowOff>66675</xdr:rowOff>
    </xdr:from>
    <xdr:to>
      <xdr:col>6</xdr:col>
      <xdr:colOff>361950</xdr:colOff>
      <xdr:row>48</xdr:row>
      <xdr:rowOff>124459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666A9B5-9128-4930-94C5-20699B5DFE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8820150"/>
          <a:ext cx="1428750" cy="85788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438150</xdr:colOff>
      <xdr:row>1</xdr:row>
      <xdr:rowOff>66675</xdr:rowOff>
    </xdr:from>
    <xdr:to>
      <xdr:col>10</xdr:col>
      <xdr:colOff>714375</xdr:colOff>
      <xdr:row>5</xdr:row>
      <xdr:rowOff>161925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8FED38E-0011-4149-886A-F1291DF05A3F}"/>
            </a:ext>
            <a:ext uri="{147F2762-F138-4A5C-976F-8EAC2B608ADB}">
              <a16:predDERef xmlns:a16="http://schemas.microsoft.com/office/drawing/2014/main" pred="{00000000-0008-0000-0400-000002000000}"/>
            </a:ext>
          </a:extLst>
        </xdr:cNvPr>
        <xdr:cNvSpPr txBox="1"/>
      </xdr:nvSpPr>
      <xdr:spPr>
        <a:xfrm>
          <a:off x="1238250" y="257175"/>
          <a:ext cx="3952875" cy="857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>
              <a:latin typeface="Times New Roman" panose="02020603050405020304" pitchFamily="18" charset="0"/>
              <a:cs typeface="Times New Roman" panose="02020603050405020304" pitchFamily="18" charset="0"/>
            </a:rPr>
            <a:t>DOKUMEN PELAKSANAAN</a:t>
          </a:r>
        </a:p>
        <a:p>
          <a:pPr algn="ctr"/>
          <a:r>
            <a:rPr lang="en-US" sz="1600" b="1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6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KEGIATAN </a:t>
          </a:r>
          <a:r>
            <a:rPr lang="en-US" sz="1600" b="1">
              <a:latin typeface="Times New Roman" panose="02020603050405020304" pitchFamily="18" charset="0"/>
              <a:cs typeface="Times New Roman" panose="02020603050405020304" pitchFamily="18" charset="0"/>
            </a:rPr>
            <a:t>SATUAN PENDIDIKAN</a:t>
          </a:r>
        </a:p>
      </xdr:txBody>
    </xdr:sp>
    <xdr:clientData/>
  </xdr:twoCellAnchor>
  <xdr:twoCellAnchor editAs="oneCell">
    <xdr:from>
      <xdr:col>2</xdr:col>
      <xdr:colOff>47625</xdr:colOff>
      <xdr:row>0</xdr:row>
      <xdr:rowOff>57150</xdr:rowOff>
    </xdr:from>
    <xdr:to>
      <xdr:col>5</xdr:col>
      <xdr:colOff>400050</xdr:colOff>
      <xdr:row>6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E178AC2-0588-439C-A560-7D94D46738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57150"/>
          <a:ext cx="838200" cy="1162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55</xdr:row>
      <xdr:rowOff>76200</xdr:rowOff>
    </xdr:from>
    <xdr:to>
      <xdr:col>6</xdr:col>
      <xdr:colOff>285750</xdr:colOff>
      <xdr:row>59</xdr:row>
      <xdr:rowOff>133984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4CD6DEB-4245-4906-B709-5714DD57BE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10868025"/>
          <a:ext cx="1428750" cy="85788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85725</xdr:colOff>
      <xdr:row>1</xdr:row>
      <xdr:rowOff>66675</xdr:rowOff>
    </xdr:from>
    <xdr:to>
      <xdr:col>12</xdr:col>
      <xdr:colOff>514350</xdr:colOff>
      <xdr:row>5</xdr:row>
      <xdr:rowOff>152400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96DBD30-846C-4EBF-BA18-385B4357A3EB}"/>
            </a:ext>
            <a:ext uri="{147F2762-F138-4A5C-976F-8EAC2B608ADB}">
              <a16:predDERef xmlns:a16="http://schemas.microsoft.com/office/drawing/2014/main" pred="{00000000-0008-0000-0500-000002000000}"/>
            </a:ext>
          </a:extLst>
        </xdr:cNvPr>
        <xdr:cNvSpPr txBox="1"/>
      </xdr:nvSpPr>
      <xdr:spPr>
        <a:xfrm>
          <a:off x="1247775" y="257175"/>
          <a:ext cx="3990975" cy="8477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>
              <a:latin typeface="Times New Roman" panose="02020603050405020304" pitchFamily="18" charset="0"/>
              <a:cs typeface="Times New Roman" panose="02020603050405020304" pitchFamily="18" charset="0"/>
            </a:rPr>
            <a:t>DOKUMEN PELAKSANAAN</a:t>
          </a:r>
        </a:p>
        <a:p>
          <a:pPr algn="ctr"/>
          <a:r>
            <a:rPr lang="en-US" sz="1600" b="1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6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KEGIATAN </a:t>
          </a:r>
          <a:r>
            <a:rPr lang="en-US" sz="1600" b="1">
              <a:latin typeface="Times New Roman" panose="02020603050405020304" pitchFamily="18" charset="0"/>
              <a:cs typeface="Times New Roman" panose="02020603050405020304" pitchFamily="18" charset="0"/>
            </a:rPr>
            <a:t>SATUAN PENDIDIKAN</a:t>
          </a:r>
        </a:p>
      </xdr:txBody>
    </xdr:sp>
    <xdr:clientData/>
  </xdr:twoCellAnchor>
  <xdr:twoCellAnchor editAs="oneCell">
    <xdr:from>
      <xdr:col>2</xdr:col>
      <xdr:colOff>66675</xdr:colOff>
      <xdr:row>0</xdr:row>
      <xdr:rowOff>57150</xdr:rowOff>
    </xdr:from>
    <xdr:to>
      <xdr:col>7</xdr:col>
      <xdr:colOff>57150</xdr:colOff>
      <xdr:row>6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7543E59-E17D-4442-9123-140D4F107E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838200" cy="1162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133350</xdr:colOff>
      <xdr:row>86</xdr:row>
      <xdr:rowOff>133350</xdr:rowOff>
    </xdr:from>
    <xdr:to>
      <xdr:col>7</xdr:col>
      <xdr:colOff>561975</xdr:colOff>
      <xdr:row>90</xdr:row>
      <xdr:rowOff>191134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EE27296-DE73-4BD1-9BA2-DEA76AC290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17087850"/>
          <a:ext cx="1428750" cy="85788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381000</xdr:colOff>
      <xdr:row>0</xdr:row>
      <xdr:rowOff>142875</xdr:rowOff>
    </xdr:from>
    <xdr:to>
      <xdr:col>23</xdr:col>
      <xdr:colOff>371475</xdr:colOff>
      <xdr:row>2</xdr:row>
      <xdr:rowOff>142875</xdr:rowOff>
    </xdr:to>
    <xdr:grpSp>
      <xdr:nvGrpSpPr>
        <xdr:cNvPr id="2" name="Group 4">
          <a:extLst>
            <a:ext uri="{FF2B5EF4-FFF2-40B4-BE49-F238E27FC236}">
              <a16:creationId xmlns:a16="http://schemas.microsoft.com/office/drawing/2014/main" id="{CC360500-B374-47E1-94E0-7501041B4DFD}"/>
            </a:ext>
          </a:extLst>
        </xdr:cNvPr>
        <xdr:cNvGrpSpPr>
          <a:grpSpLocks/>
        </xdr:cNvGrpSpPr>
      </xdr:nvGrpSpPr>
      <xdr:grpSpPr bwMode="auto">
        <a:xfrm>
          <a:off x="9144000" y="142875"/>
          <a:ext cx="1718582" cy="421821"/>
          <a:chOff x="732" y="6"/>
          <a:chExt cx="95" cy="96"/>
        </a:xfrm>
      </xdr:grpSpPr>
      <xdr:sp macro="" textlink="">
        <xdr:nvSpPr>
          <xdr:cNvPr id="3" name="WordArt 5">
            <a:extLst>
              <a:ext uri="{FF2B5EF4-FFF2-40B4-BE49-F238E27FC236}">
                <a16:creationId xmlns:a16="http://schemas.microsoft.com/office/drawing/2014/main" id="{A8B58DFB-D362-A47C-FE74-F9DFD9D8F6C4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732" y="6"/>
            <a:ext cx="95" cy="24"/>
          </a:xfrm>
          <a:prstGeom prst="rect">
            <a:avLst/>
          </a:prstGeom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latin typeface="Arial"/>
                <a:cs typeface="Arial"/>
              </a:rPr>
              <a:t>FORMULIR</a:t>
            </a:r>
          </a:p>
        </xdr:txBody>
      </xdr:sp>
      <xdr:sp macro="" textlink="">
        <xdr:nvSpPr>
          <xdr:cNvPr id="4" name="WordArt 6">
            <a:extLst>
              <a:ext uri="{FF2B5EF4-FFF2-40B4-BE49-F238E27FC236}">
                <a16:creationId xmlns:a16="http://schemas.microsoft.com/office/drawing/2014/main" id="{4901F48F-3C3E-056E-8A76-A7CCB6A9D8FD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734" y="43"/>
            <a:ext cx="83" cy="59"/>
          </a:xfrm>
          <a:prstGeom prst="rect">
            <a:avLst/>
          </a:prstGeom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endParaRPr lang="en-US" sz="3600" u="sng" cap="small" spc="0">
              <a:ln>
                <a:noFill/>
              </a:ln>
              <a:solidFill>
                <a:srgbClr val="FFFFFF"/>
              </a:solidFill>
              <a:latin typeface="退邐邐邐憭憭憭憭憭ﭐ憭﷨憭Ƙ憮Ԡ憮ސ憮࢘憮਀憮ಀ憮๸"/>
            </a:endParaRPr>
          </a:p>
        </xdr:txBody>
      </xdr:sp>
    </xdr:grpSp>
    <xdr:clientData/>
  </xdr:twoCellAnchor>
  <xdr:twoCellAnchor>
    <xdr:from>
      <xdr:col>5</xdr:col>
      <xdr:colOff>85725</xdr:colOff>
      <xdr:row>1</xdr:row>
      <xdr:rowOff>0</xdr:rowOff>
    </xdr:from>
    <xdr:to>
      <xdr:col>20</xdr:col>
      <xdr:colOff>76200</xdr:colOff>
      <xdr:row>3</xdr:row>
      <xdr:rowOff>257175</xdr:rowOff>
    </xdr:to>
    <xdr:sp macro="" textlink="">
      <xdr:nvSpPr>
        <xdr:cNvPr id="5" name="WordArt 1">
          <a:extLst>
            <a:ext uri="{FF2B5EF4-FFF2-40B4-BE49-F238E27FC236}">
              <a16:creationId xmlns:a16="http://schemas.microsoft.com/office/drawing/2014/main" id="{5BE56D3F-F802-447B-BD74-8BF4CE815AE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1323975" y="180975"/>
          <a:ext cx="6762750" cy="809625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sz="2000" kern="10" spc="0">
              <a:ln w="19050">
                <a:solidFill>
                  <a:srgbClr val="FFFFFF"/>
                </a:solidFill>
                <a:round/>
                <a:headEnd/>
                <a:tailEnd/>
              </a:ln>
              <a:solidFill>
                <a:srgbClr val="333333"/>
              </a:solidFill>
              <a:latin typeface="Impact"/>
            </a:rPr>
            <a:t>DOKUMEN PELAKSANAAN KEGIATAN</a:t>
          </a:r>
        </a:p>
        <a:p>
          <a:pPr algn="ctr" rtl="0">
            <a:buNone/>
          </a:pPr>
          <a:r>
            <a:rPr lang="en-US" sz="2000" kern="10" spc="0">
              <a:ln w="19050">
                <a:solidFill>
                  <a:srgbClr val="FFFFFF"/>
                </a:solidFill>
                <a:round/>
                <a:headEnd/>
                <a:tailEnd/>
              </a:ln>
              <a:solidFill>
                <a:srgbClr val="333333"/>
              </a:solidFill>
              <a:latin typeface="Impact"/>
            </a:rPr>
            <a:t>SATUAN PENDIDIKAN</a:t>
          </a:r>
        </a:p>
      </xdr:txBody>
    </xdr:sp>
    <xdr:clientData/>
  </xdr:twoCellAnchor>
  <xdr:twoCellAnchor editAs="oneCell">
    <xdr:from>
      <xdr:col>0</xdr:col>
      <xdr:colOff>145676</xdr:colOff>
      <xdr:row>0</xdr:row>
      <xdr:rowOff>100853</xdr:rowOff>
    </xdr:from>
    <xdr:to>
      <xdr:col>3</xdr:col>
      <xdr:colOff>112058</xdr:colOff>
      <xdr:row>3</xdr:row>
      <xdr:rowOff>351202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2A9E631E-5684-496D-BA94-7C4A4ADBD4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676" y="100853"/>
          <a:ext cx="709332" cy="983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381000</xdr:colOff>
      <xdr:row>0</xdr:row>
      <xdr:rowOff>142875</xdr:rowOff>
    </xdr:from>
    <xdr:to>
      <xdr:col>23</xdr:col>
      <xdr:colOff>371475</xdr:colOff>
      <xdr:row>2</xdr:row>
      <xdr:rowOff>142875</xdr:rowOff>
    </xdr:to>
    <xdr:grpSp>
      <xdr:nvGrpSpPr>
        <xdr:cNvPr id="2" name="Group 4">
          <a:extLst>
            <a:ext uri="{FF2B5EF4-FFF2-40B4-BE49-F238E27FC236}">
              <a16:creationId xmlns:a16="http://schemas.microsoft.com/office/drawing/2014/main" id="{CCF89523-9ECC-492E-9B69-36521A6C0FB9}"/>
            </a:ext>
          </a:extLst>
        </xdr:cNvPr>
        <xdr:cNvGrpSpPr>
          <a:grpSpLocks/>
        </xdr:cNvGrpSpPr>
      </xdr:nvGrpSpPr>
      <xdr:grpSpPr bwMode="auto">
        <a:xfrm>
          <a:off x="9101667" y="142875"/>
          <a:ext cx="1715558" cy="423333"/>
          <a:chOff x="732" y="6"/>
          <a:chExt cx="95" cy="96"/>
        </a:xfrm>
      </xdr:grpSpPr>
      <xdr:sp macro="" textlink="">
        <xdr:nvSpPr>
          <xdr:cNvPr id="3" name="WordArt 5">
            <a:extLst>
              <a:ext uri="{FF2B5EF4-FFF2-40B4-BE49-F238E27FC236}">
                <a16:creationId xmlns:a16="http://schemas.microsoft.com/office/drawing/2014/main" id="{3A8CF9A7-1237-D3F4-6EBF-AD8F6FB1DF95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732" y="6"/>
            <a:ext cx="95" cy="24"/>
          </a:xfrm>
          <a:prstGeom prst="rect">
            <a:avLst/>
          </a:prstGeom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latin typeface="Arial"/>
                <a:cs typeface="Arial"/>
              </a:rPr>
              <a:t>FORMULIR</a:t>
            </a:r>
          </a:p>
        </xdr:txBody>
      </xdr:sp>
      <xdr:sp macro="" textlink="">
        <xdr:nvSpPr>
          <xdr:cNvPr id="4" name="WordArt 6">
            <a:extLst>
              <a:ext uri="{FF2B5EF4-FFF2-40B4-BE49-F238E27FC236}">
                <a16:creationId xmlns:a16="http://schemas.microsoft.com/office/drawing/2014/main" id="{65E145DF-DE9D-79D1-DCE1-96F85473C816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734" y="43"/>
            <a:ext cx="83" cy="59"/>
          </a:xfrm>
          <a:prstGeom prst="rect">
            <a:avLst/>
          </a:prstGeom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endParaRPr lang="en-US" sz="3600" u="sng" cap="small" spc="0">
              <a:ln>
                <a:noFill/>
              </a:ln>
              <a:solidFill>
                <a:srgbClr val="FFFFFF"/>
              </a:solidFill>
              <a:latin typeface="退邐邐邐憭憭憭憭憭ﭐ憭﷨憭Ƙ憮Ԡ憮ސ憮࢘憮਀憮ಀ憮๸"/>
            </a:endParaRPr>
          </a:p>
        </xdr:txBody>
      </xdr:sp>
    </xdr:grpSp>
    <xdr:clientData/>
  </xdr:twoCellAnchor>
  <xdr:twoCellAnchor>
    <xdr:from>
      <xdr:col>5</xdr:col>
      <xdr:colOff>85725</xdr:colOff>
      <xdr:row>1</xdr:row>
      <xdr:rowOff>0</xdr:rowOff>
    </xdr:from>
    <xdr:to>
      <xdr:col>20</xdr:col>
      <xdr:colOff>76200</xdr:colOff>
      <xdr:row>3</xdr:row>
      <xdr:rowOff>257175</xdr:rowOff>
    </xdr:to>
    <xdr:sp macro="" textlink="">
      <xdr:nvSpPr>
        <xdr:cNvPr id="5" name="WordArt 1">
          <a:extLst>
            <a:ext uri="{FF2B5EF4-FFF2-40B4-BE49-F238E27FC236}">
              <a16:creationId xmlns:a16="http://schemas.microsoft.com/office/drawing/2014/main" id="{647904AF-DA0D-4A70-B610-1E686F3EE697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1323975" y="180975"/>
          <a:ext cx="6762750" cy="809625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sz="2000" kern="10" spc="0">
              <a:ln w="19050">
                <a:solidFill>
                  <a:srgbClr val="FFFFFF"/>
                </a:solidFill>
                <a:round/>
                <a:headEnd/>
                <a:tailEnd/>
              </a:ln>
              <a:solidFill>
                <a:srgbClr val="333333"/>
              </a:solidFill>
              <a:latin typeface="Impact"/>
            </a:rPr>
            <a:t>DOKUMEN PELAKSANAAN KEGIATAN</a:t>
          </a:r>
        </a:p>
        <a:p>
          <a:pPr algn="ctr" rtl="0">
            <a:buNone/>
          </a:pPr>
          <a:r>
            <a:rPr lang="en-US" sz="2000" kern="10" spc="0">
              <a:ln w="19050">
                <a:solidFill>
                  <a:srgbClr val="FFFFFF"/>
                </a:solidFill>
                <a:round/>
                <a:headEnd/>
                <a:tailEnd/>
              </a:ln>
              <a:solidFill>
                <a:srgbClr val="333333"/>
              </a:solidFill>
              <a:latin typeface="Impact"/>
            </a:rPr>
            <a:t>SATUAN PENDIDIKAN</a:t>
          </a:r>
        </a:p>
      </xdr:txBody>
    </xdr:sp>
    <xdr:clientData/>
  </xdr:twoCellAnchor>
  <xdr:twoCellAnchor editAs="oneCell">
    <xdr:from>
      <xdr:col>0</xdr:col>
      <xdr:colOff>145676</xdr:colOff>
      <xdr:row>0</xdr:row>
      <xdr:rowOff>100853</xdr:rowOff>
    </xdr:from>
    <xdr:to>
      <xdr:col>3</xdr:col>
      <xdr:colOff>112058</xdr:colOff>
      <xdr:row>3</xdr:row>
      <xdr:rowOff>351202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9295B60A-1430-4B7B-A467-E92BB9C160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676" y="100853"/>
          <a:ext cx="709332" cy="983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381000</xdr:colOff>
      <xdr:row>0</xdr:row>
      <xdr:rowOff>142875</xdr:rowOff>
    </xdr:from>
    <xdr:to>
      <xdr:col>23</xdr:col>
      <xdr:colOff>371475</xdr:colOff>
      <xdr:row>2</xdr:row>
      <xdr:rowOff>142875</xdr:rowOff>
    </xdr:to>
    <xdr:grpSp>
      <xdr:nvGrpSpPr>
        <xdr:cNvPr id="2" name="Group 4">
          <a:extLst>
            <a:ext uri="{FF2B5EF4-FFF2-40B4-BE49-F238E27FC236}">
              <a16:creationId xmlns:a16="http://schemas.microsoft.com/office/drawing/2014/main" id="{7FA4E4AF-231D-4375-8A59-FDEA6A713662}"/>
            </a:ext>
          </a:extLst>
        </xdr:cNvPr>
        <xdr:cNvGrpSpPr>
          <a:grpSpLocks/>
        </xdr:cNvGrpSpPr>
      </xdr:nvGrpSpPr>
      <xdr:grpSpPr bwMode="auto">
        <a:xfrm>
          <a:off x="9144000" y="142875"/>
          <a:ext cx="1720850" cy="412750"/>
          <a:chOff x="732" y="6"/>
          <a:chExt cx="95" cy="96"/>
        </a:xfrm>
      </xdr:grpSpPr>
      <xdr:sp macro="" textlink="">
        <xdr:nvSpPr>
          <xdr:cNvPr id="3" name="WordArt 5">
            <a:extLst>
              <a:ext uri="{FF2B5EF4-FFF2-40B4-BE49-F238E27FC236}">
                <a16:creationId xmlns:a16="http://schemas.microsoft.com/office/drawing/2014/main" id="{EFB2C8BB-DC36-C0E6-3285-BD290CCACA48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732" y="6"/>
            <a:ext cx="95" cy="24"/>
          </a:xfrm>
          <a:prstGeom prst="rect">
            <a:avLst/>
          </a:prstGeom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latin typeface="Arial"/>
                <a:cs typeface="Arial"/>
              </a:rPr>
              <a:t>FORMULIR</a:t>
            </a:r>
          </a:p>
        </xdr:txBody>
      </xdr:sp>
      <xdr:sp macro="" textlink="">
        <xdr:nvSpPr>
          <xdr:cNvPr id="4" name="WordArt 6">
            <a:extLst>
              <a:ext uri="{FF2B5EF4-FFF2-40B4-BE49-F238E27FC236}">
                <a16:creationId xmlns:a16="http://schemas.microsoft.com/office/drawing/2014/main" id="{FC7DEB85-AF8A-1F95-8E3B-7F98BF181383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734" y="43"/>
            <a:ext cx="83" cy="59"/>
          </a:xfrm>
          <a:prstGeom prst="rect">
            <a:avLst/>
          </a:prstGeom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endParaRPr lang="en-US" sz="3600" u="sng" cap="small" spc="0">
              <a:ln>
                <a:noFill/>
              </a:ln>
              <a:solidFill>
                <a:srgbClr val="FFFFFF"/>
              </a:solidFill>
              <a:latin typeface="退邐邐邐憭憭憭憭憭ﭐ憭﷨憭Ƙ憮Ԡ憮ސ憮࢘憮਀憮ಀ憮๸"/>
            </a:endParaRPr>
          </a:p>
        </xdr:txBody>
      </xdr:sp>
    </xdr:grpSp>
    <xdr:clientData/>
  </xdr:twoCellAnchor>
  <xdr:twoCellAnchor>
    <xdr:from>
      <xdr:col>5</xdr:col>
      <xdr:colOff>85725</xdr:colOff>
      <xdr:row>1</xdr:row>
      <xdr:rowOff>0</xdr:rowOff>
    </xdr:from>
    <xdr:to>
      <xdr:col>20</xdr:col>
      <xdr:colOff>76200</xdr:colOff>
      <xdr:row>3</xdr:row>
      <xdr:rowOff>257175</xdr:rowOff>
    </xdr:to>
    <xdr:sp macro="" textlink="">
      <xdr:nvSpPr>
        <xdr:cNvPr id="5" name="WordArt 1">
          <a:extLst>
            <a:ext uri="{FF2B5EF4-FFF2-40B4-BE49-F238E27FC236}">
              <a16:creationId xmlns:a16="http://schemas.microsoft.com/office/drawing/2014/main" id="{2378E7A8-3F82-4AA9-B5F7-2B2056ED405C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1323975" y="180975"/>
          <a:ext cx="6762750" cy="809625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sz="2000" kern="10" spc="0">
              <a:ln w="19050">
                <a:solidFill>
                  <a:srgbClr val="FFFFFF"/>
                </a:solidFill>
                <a:round/>
                <a:headEnd/>
                <a:tailEnd/>
              </a:ln>
              <a:solidFill>
                <a:srgbClr val="333333"/>
              </a:solidFill>
              <a:latin typeface="Impact"/>
            </a:rPr>
            <a:t>DOKUMEN PELAKSANAAN KEGIATAN</a:t>
          </a:r>
        </a:p>
        <a:p>
          <a:pPr algn="ctr" rtl="0">
            <a:buNone/>
          </a:pPr>
          <a:r>
            <a:rPr lang="en-US" sz="2000" kern="10" spc="0">
              <a:ln w="19050">
                <a:solidFill>
                  <a:srgbClr val="FFFFFF"/>
                </a:solidFill>
                <a:round/>
                <a:headEnd/>
                <a:tailEnd/>
              </a:ln>
              <a:solidFill>
                <a:srgbClr val="333333"/>
              </a:solidFill>
              <a:latin typeface="Impact"/>
            </a:rPr>
            <a:t>SATUAN PENDIDIKAN</a:t>
          </a:r>
        </a:p>
      </xdr:txBody>
    </xdr:sp>
    <xdr:clientData/>
  </xdr:twoCellAnchor>
  <xdr:twoCellAnchor editAs="oneCell">
    <xdr:from>
      <xdr:col>0</xdr:col>
      <xdr:colOff>145676</xdr:colOff>
      <xdr:row>0</xdr:row>
      <xdr:rowOff>100853</xdr:rowOff>
    </xdr:from>
    <xdr:to>
      <xdr:col>3</xdr:col>
      <xdr:colOff>112058</xdr:colOff>
      <xdr:row>3</xdr:row>
      <xdr:rowOff>351202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A830553E-9C44-4BC7-A927-F2635DBE41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676" y="100853"/>
          <a:ext cx="709332" cy="983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381000</xdr:colOff>
      <xdr:row>0</xdr:row>
      <xdr:rowOff>142875</xdr:rowOff>
    </xdr:from>
    <xdr:to>
      <xdr:col>23</xdr:col>
      <xdr:colOff>371475</xdr:colOff>
      <xdr:row>2</xdr:row>
      <xdr:rowOff>142875</xdr:rowOff>
    </xdr:to>
    <xdr:grpSp>
      <xdr:nvGrpSpPr>
        <xdr:cNvPr id="2" name="Group 4">
          <a:extLst>
            <a:ext uri="{FF2B5EF4-FFF2-40B4-BE49-F238E27FC236}">
              <a16:creationId xmlns:a16="http://schemas.microsoft.com/office/drawing/2014/main" id="{400E914D-0D25-4D71-87B3-F601A2B373CD}"/>
            </a:ext>
          </a:extLst>
        </xdr:cNvPr>
        <xdr:cNvGrpSpPr>
          <a:grpSpLocks/>
        </xdr:cNvGrpSpPr>
      </xdr:nvGrpSpPr>
      <xdr:grpSpPr bwMode="auto">
        <a:xfrm>
          <a:off x="9060656" y="142875"/>
          <a:ext cx="1716882" cy="416719"/>
          <a:chOff x="732" y="6"/>
          <a:chExt cx="95" cy="96"/>
        </a:xfrm>
      </xdr:grpSpPr>
      <xdr:sp macro="" textlink="">
        <xdr:nvSpPr>
          <xdr:cNvPr id="3" name="WordArt 5">
            <a:extLst>
              <a:ext uri="{FF2B5EF4-FFF2-40B4-BE49-F238E27FC236}">
                <a16:creationId xmlns:a16="http://schemas.microsoft.com/office/drawing/2014/main" id="{DD7C18E4-E292-DBFA-FC0F-F244955C4890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732" y="6"/>
            <a:ext cx="95" cy="24"/>
          </a:xfrm>
          <a:prstGeom prst="rect">
            <a:avLst/>
          </a:prstGeom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latin typeface="Arial"/>
                <a:cs typeface="Arial"/>
              </a:rPr>
              <a:t>FORMULIR</a:t>
            </a:r>
          </a:p>
        </xdr:txBody>
      </xdr:sp>
      <xdr:sp macro="" textlink="">
        <xdr:nvSpPr>
          <xdr:cNvPr id="4" name="WordArt 6">
            <a:extLst>
              <a:ext uri="{FF2B5EF4-FFF2-40B4-BE49-F238E27FC236}">
                <a16:creationId xmlns:a16="http://schemas.microsoft.com/office/drawing/2014/main" id="{70484D6E-6CCB-48EE-9672-76E02E667527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734" y="43"/>
            <a:ext cx="83" cy="59"/>
          </a:xfrm>
          <a:prstGeom prst="rect">
            <a:avLst/>
          </a:prstGeom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endParaRPr lang="en-US" sz="3600" u="sng" cap="small" spc="0">
              <a:ln>
                <a:noFill/>
              </a:ln>
              <a:solidFill>
                <a:srgbClr val="FFFFFF"/>
              </a:solidFill>
              <a:latin typeface="退邐邐邐憭憭憭憭憭ﭐ憭﷨憭Ƙ憮Ԡ憮ސ憮࢘憮਀憮ಀ憮๸"/>
            </a:endParaRPr>
          </a:p>
        </xdr:txBody>
      </xdr:sp>
    </xdr:grpSp>
    <xdr:clientData/>
  </xdr:twoCellAnchor>
  <xdr:twoCellAnchor>
    <xdr:from>
      <xdr:col>5</xdr:col>
      <xdr:colOff>85725</xdr:colOff>
      <xdr:row>1</xdr:row>
      <xdr:rowOff>0</xdr:rowOff>
    </xdr:from>
    <xdr:to>
      <xdr:col>20</xdr:col>
      <xdr:colOff>76200</xdr:colOff>
      <xdr:row>3</xdr:row>
      <xdr:rowOff>257175</xdr:rowOff>
    </xdr:to>
    <xdr:sp macro="" textlink="">
      <xdr:nvSpPr>
        <xdr:cNvPr id="5" name="WordArt 1">
          <a:extLst>
            <a:ext uri="{FF2B5EF4-FFF2-40B4-BE49-F238E27FC236}">
              <a16:creationId xmlns:a16="http://schemas.microsoft.com/office/drawing/2014/main" id="{58BC1B8B-AAAC-4D65-9CC8-3DBD9970F2D3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1323975" y="180975"/>
          <a:ext cx="6810375" cy="809625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sz="2000" kern="10" spc="0">
              <a:ln w="19050">
                <a:solidFill>
                  <a:srgbClr val="FFFFFF"/>
                </a:solidFill>
                <a:round/>
                <a:headEnd/>
                <a:tailEnd/>
              </a:ln>
              <a:solidFill>
                <a:srgbClr val="333333"/>
              </a:solidFill>
              <a:latin typeface="Impact"/>
            </a:rPr>
            <a:t>DOKUMEN PELAKSANAAN KEGIATAN</a:t>
          </a:r>
        </a:p>
        <a:p>
          <a:pPr algn="ctr" rtl="0">
            <a:buNone/>
          </a:pPr>
          <a:r>
            <a:rPr lang="en-US" sz="2000" kern="10" spc="0">
              <a:ln w="19050">
                <a:solidFill>
                  <a:srgbClr val="FFFFFF"/>
                </a:solidFill>
                <a:round/>
                <a:headEnd/>
                <a:tailEnd/>
              </a:ln>
              <a:solidFill>
                <a:srgbClr val="333333"/>
              </a:solidFill>
              <a:latin typeface="Impact"/>
            </a:rPr>
            <a:t>SATUAN PENDIDIKAN</a:t>
          </a:r>
        </a:p>
      </xdr:txBody>
    </xdr:sp>
    <xdr:clientData/>
  </xdr:twoCellAnchor>
  <xdr:twoCellAnchor editAs="oneCell">
    <xdr:from>
      <xdr:col>0</xdr:col>
      <xdr:colOff>145676</xdr:colOff>
      <xdr:row>0</xdr:row>
      <xdr:rowOff>100853</xdr:rowOff>
    </xdr:from>
    <xdr:to>
      <xdr:col>3</xdr:col>
      <xdr:colOff>112058</xdr:colOff>
      <xdr:row>3</xdr:row>
      <xdr:rowOff>351202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5CE97BA4-5FBD-4F40-95B8-B2602B7D9B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676" y="100853"/>
          <a:ext cx="709332" cy="983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381000</xdr:colOff>
      <xdr:row>0</xdr:row>
      <xdr:rowOff>142875</xdr:rowOff>
    </xdr:from>
    <xdr:to>
      <xdr:col>23</xdr:col>
      <xdr:colOff>371475</xdr:colOff>
      <xdr:row>2</xdr:row>
      <xdr:rowOff>142875</xdr:rowOff>
    </xdr:to>
    <xdr:grpSp>
      <xdr:nvGrpSpPr>
        <xdr:cNvPr id="2" name="Group 4">
          <a:extLst>
            <a:ext uri="{FF2B5EF4-FFF2-40B4-BE49-F238E27FC236}">
              <a16:creationId xmlns:a16="http://schemas.microsoft.com/office/drawing/2014/main" id="{04415922-DA3D-45BC-9A7C-C2610DB4CBE9}"/>
            </a:ext>
          </a:extLst>
        </xdr:cNvPr>
        <xdr:cNvGrpSpPr>
          <a:grpSpLocks/>
        </xdr:cNvGrpSpPr>
      </xdr:nvGrpSpPr>
      <xdr:grpSpPr bwMode="auto">
        <a:xfrm>
          <a:off x="10980964" y="142875"/>
          <a:ext cx="3011261" cy="421821"/>
          <a:chOff x="732" y="6"/>
          <a:chExt cx="95" cy="96"/>
        </a:xfrm>
      </xdr:grpSpPr>
      <xdr:sp macro="" textlink="">
        <xdr:nvSpPr>
          <xdr:cNvPr id="3" name="WordArt 5">
            <a:extLst>
              <a:ext uri="{FF2B5EF4-FFF2-40B4-BE49-F238E27FC236}">
                <a16:creationId xmlns:a16="http://schemas.microsoft.com/office/drawing/2014/main" id="{670DB5BD-6843-07D6-B088-37562721D8DA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732" y="6"/>
            <a:ext cx="95" cy="24"/>
          </a:xfrm>
          <a:prstGeom prst="rect">
            <a:avLst/>
          </a:prstGeom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latin typeface="Arial"/>
                <a:cs typeface="Arial"/>
              </a:rPr>
              <a:t>FORMULIR</a:t>
            </a:r>
          </a:p>
        </xdr:txBody>
      </xdr:sp>
      <xdr:sp macro="" textlink="">
        <xdr:nvSpPr>
          <xdr:cNvPr id="4" name="WordArt 6">
            <a:extLst>
              <a:ext uri="{FF2B5EF4-FFF2-40B4-BE49-F238E27FC236}">
                <a16:creationId xmlns:a16="http://schemas.microsoft.com/office/drawing/2014/main" id="{7C91C782-0A89-E0A0-2595-950B26EF1B61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734" y="43"/>
            <a:ext cx="83" cy="59"/>
          </a:xfrm>
          <a:prstGeom prst="rect">
            <a:avLst/>
          </a:prstGeom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endParaRPr lang="en-US" sz="3600" u="sng" cap="small" spc="0">
              <a:ln>
                <a:noFill/>
              </a:ln>
              <a:solidFill>
                <a:srgbClr val="FFFFFF"/>
              </a:solidFill>
              <a:latin typeface="退邐邐邐憭憭憭憭憭ﭐ憭﷨憭Ƙ憮Ԡ憮ސ憮࢘憮਀憮ಀ憮๸"/>
            </a:endParaRPr>
          </a:p>
        </xdr:txBody>
      </xdr:sp>
    </xdr:grpSp>
    <xdr:clientData/>
  </xdr:twoCellAnchor>
  <xdr:twoCellAnchor>
    <xdr:from>
      <xdr:col>5</xdr:col>
      <xdr:colOff>85725</xdr:colOff>
      <xdr:row>1</xdr:row>
      <xdr:rowOff>0</xdr:rowOff>
    </xdr:from>
    <xdr:to>
      <xdr:col>20</xdr:col>
      <xdr:colOff>76200</xdr:colOff>
      <xdr:row>3</xdr:row>
      <xdr:rowOff>257175</xdr:rowOff>
    </xdr:to>
    <xdr:sp macro="" textlink="">
      <xdr:nvSpPr>
        <xdr:cNvPr id="5" name="WordArt 1">
          <a:extLst>
            <a:ext uri="{FF2B5EF4-FFF2-40B4-BE49-F238E27FC236}">
              <a16:creationId xmlns:a16="http://schemas.microsoft.com/office/drawing/2014/main" id="{9AEF783C-5446-4D28-9CB1-AEFC28AEE919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1323975" y="180975"/>
          <a:ext cx="6810375" cy="809625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sz="2000" kern="10" spc="0">
              <a:ln w="19050">
                <a:solidFill>
                  <a:srgbClr val="FFFFFF"/>
                </a:solidFill>
                <a:round/>
                <a:headEnd/>
                <a:tailEnd/>
              </a:ln>
              <a:solidFill>
                <a:srgbClr val="333333"/>
              </a:solidFill>
              <a:latin typeface="Impact"/>
            </a:rPr>
            <a:t>DOKUMEN PELAKSANAAN KEGIATAN</a:t>
          </a:r>
        </a:p>
        <a:p>
          <a:pPr algn="ctr" rtl="0">
            <a:buNone/>
          </a:pPr>
          <a:r>
            <a:rPr lang="en-US" sz="2000" kern="10" spc="0">
              <a:ln w="19050">
                <a:solidFill>
                  <a:srgbClr val="FFFFFF"/>
                </a:solidFill>
                <a:round/>
                <a:headEnd/>
                <a:tailEnd/>
              </a:ln>
              <a:solidFill>
                <a:srgbClr val="333333"/>
              </a:solidFill>
              <a:latin typeface="Impact"/>
            </a:rPr>
            <a:t>SATUAN PENDIDIKAN</a:t>
          </a:r>
        </a:p>
      </xdr:txBody>
    </xdr:sp>
    <xdr:clientData/>
  </xdr:twoCellAnchor>
  <xdr:twoCellAnchor editAs="oneCell">
    <xdr:from>
      <xdr:col>0</xdr:col>
      <xdr:colOff>145676</xdr:colOff>
      <xdr:row>0</xdr:row>
      <xdr:rowOff>100853</xdr:rowOff>
    </xdr:from>
    <xdr:to>
      <xdr:col>0</xdr:col>
      <xdr:colOff>843046</xdr:colOff>
      <xdr:row>3</xdr:row>
      <xdr:rowOff>351202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29973635-C357-4CDD-9140-F4EEDE195E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676" y="100853"/>
          <a:ext cx="709332" cy="983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381000</xdr:colOff>
      <xdr:row>0</xdr:row>
      <xdr:rowOff>142875</xdr:rowOff>
    </xdr:from>
    <xdr:to>
      <xdr:col>23</xdr:col>
      <xdr:colOff>371475</xdr:colOff>
      <xdr:row>2</xdr:row>
      <xdr:rowOff>142875</xdr:rowOff>
    </xdr:to>
    <xdr:grpSp>
      <xdr:nvGrpSpPr>
        <xdr:cNvPr id="2" name="Group 4">
          <a:extLst>
            <a:ext uri="{FF2B5EF4-FFF2-40B4-BE49-F238E27FC236}">
              <a16:creationId xmlns:a16="http://schemas.microsoft.com/office/drawing/2014/main" id="{CA9FA1FE-7C4C-487A-941A-066612177D7A}"/>
            </a:ext>
          </a:extLst>
        </xdr:cNvPr>
        <xdr:cNvGrpSpPr>
          <a:grpSpLocks/>
        </xdr:cNvGrpSpPr>
      </xdr:nvGrpSpPr>
      <xdr:grpSpPr bwMode="auto">
        <a:xfrm>
          <a:off x="9062357" y="142875"/>
          <a:ext cx="1718582" cy="421821"/>
          <a:chOff x="732" y="6"/>
          <a:chExt cx="95" cy="96"/>
        </a:xfrm>
      </xdr:grpSpPr>
      <xdr:sp macro="" textlink="">
        <xdr:nvSpPr>
          <xdr:cNvPr id="3" name="WordArt 5">
            <a:extLst>
              <a:ext uri="{FF2B5EF4-FFF2-40B4-BE49-F238E27FC236}">
                <a16:creationId xmlns:a16="http://schemas.microsoft.com/office/drawing/2014/main" id="{0A674E61-A40A-BE72-3B02-3748FE4F229C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732" y="6"/>
            <a:ext cx="95" cy="24"/>
          </a:xfrm>
          <a:prstGeom prst="rect">
            <a:avLst/>
          </a:prstGeom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latin typeface="Arial"/>
                <a:cs typeface="Arial"/>
              </a:rPr>
              <a:t>FORMULIR</a:t>
            </a:r>
          </a:p>
        </xdr:txBody>
      </xdr:sp>
      <xdr:sp macro="" textlink="">
        <xdr:nvSpPr>
          <xdr:cNvPr id="4" name="WordArt 6">
            <a:extLst>
              <a:ext uri="{FF2B5EF4-FFF2-40B4-BE49-F238E27FC236}">
                <a16:creationId xmlns:a16="http://schemas.microsoft.com/office/drawing/2014/main" id="{D863E7C3-3621-5390-D68A-E145CCB3C0DB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734" y="43"/>
            <a:ext cx="83" cy="59"/>
          </a:xfrm>
          <a:prstGeom prst="rect">
            <a:avLst/>
          </a:prstGeom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endParaRPr lang="en-US" sz="3600" u="sng" cap="small" spc="0">
              <a:ln>
                <a:noFill/>
              </a:ln>
              <a:solidFill>
                <a:srgbClr val="FFFFFF"/>
              </a:solidFill>
              <a:latin typeface="退邐邐邐憭憭憭憭憭ﭐ憭﷨憭Ƙ憮Ԡ憮ސ憮࢘憮਀憮ಀ憮๸"/>
            </a:endParaRPr>
          </a:p>
        </xdr:txBody>
      </xdr:sp>
    </xdr:grpSp>
    <xdr:clientData/>
  </xdr:twoCellAnchor>
  <xdr:twoCellAnchor>
    <xdr:from>
      <xdr:col>5</xdr:col>
      <xdr:colOff>85725</xdr:colOff>
      <xdr:row>1</xdr:row>
      <xdr:rowOff>0</xdr:rowOff>
    </xdr:from>
    <xdr:to>
      <xdr:col>20</xdr:col>
      <xdr:colOff>76200</xdr:colOff>
      <xdr:row>3</xdr:row>
      <xdr:rowOff>257175</xdr:rowOff>
    </xdr:to>
    <xdr:sp macro="" textlink="">
      <xdr:nvSpPr>
        <xdr:cNvPr id="5" name="WordArt 1">
          <a:extLst>
            <a:ext uri="{FF2B5EF4-FFF2-40B4-BE49-F238E27FC236}">
              <a16:creationId xmlns:a16="http://schemas.microsoft.com/office/drawing/2014/main" id="{8936AAA7-522A-4583-9CC1-23FB6901FD79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1323975" y="180975"/>
          <a:ext cx="6810375" cy="809625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sz="2000" kern="10" spc="0">
              <a:ln w="19050">
                <a:solidFill>
                  <a:srgbClr val="FFFFFF"/>
                </a:solidFill>
                <a:round/>
                <a:headEnd/>
                <a:tailEnd/>
              </a:ln>
              <a:solidFill>
                <a:srgbClr val="333333"/>
              </a:solidFill>
              <a:latin typeface="Impact"/>
            </a:rPr>
            <a:t>DOKUMEN PELAKSANAAN KEGIATAN</a:t>
          </a:r>
        </a:p>
        <a:p>
          <a:pPr algn="ctr" rtl="0">
            <a:buNone/>
          </a:pPr>
          <a:r>
            <a:rPr lang="en-US" sz="2000" kern="10" spc="0">
              <a:ln w="19050">
                <a:solidFill>
                  <a:srgbClr val="FFFFFF"/>
                </a:solidFill>
                <a:round/>
                <a:headEnd/>
                <a:tailEnd/>
              </a:ln>
              <a:solidFill>
                <a:srgbClr val="333333"/>
              </a:solidFill>
              <a:latin typeface="Impact"/>
            </a:rPr>
            <a:t>SATUAN PENDIDIKAN</a:t>
          </a:r>
        </a:p>
      </xdr:txBody>
    </xdr:sp>
    <xdr:clientData/>
  </xdr:twoCellAnchor>
  <xdr:twoCellAnchor editAs="oneCell">
    <xdr:from>
      <xdr:col>0</xdr:col>
      <xdr:colOff>145676</xdr:colOff>
      <xdr:row>0</xdr:row>
      <xdr:rowOff>100853</xdr:rowOff>
    </xdr:from>
    <xdr:to>
      <xdr:col>3</xdr:col>
      <xdr:colOff>112058</xdr:colOff>
      <xdr:row>3</xdr:row>
      <xdr:rowOff>351202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3121B276-575A-4A7C-A9F0-E743D1FE9F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676" y="100853"/>
          <a:ext cx="709332" cy="983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381000</xdr:colOff>
      <xdr:row>0</xdr:row>
      <xdr:rowOff>142875</xdr:rowOff>
    </xdr:from>
    <xdr:to>
      <xdr:col>23</xdr:col>
      <xdr:colOff>371475</xdr:colOff>
      <xdr:row>2</xdr:row>
      <xdr:rowOff>142875</xdr:rowOff>
    </xdr:to>
    <xdr:grpSp>
      <xdr:nvGrpSpPr>
        <xdr:cNvPr id="2" name="Group 4">
          <a:extLst>
            <a:ext uri="{FF2B5EF4-FFF2-40B4-BE49-F238E27FC236}">
              <a16:creationId xmlns:a16="http://schemas.microsoft.com/office/drawing/2014/main" id="{CED51264-6A7B-4E71-A092-0C3A31D994E1}"/>
            </a:ext>
          </a:extLst>
        </xdr:cNvPr>
        <xdr:cNvGrpSpPr>
          <a:grpSpLocks/>
        </xdr:cNvGrpSpPr>
      </xdr:nvGrpSpPr>
      <xdr:grpSpPr bwMode="auto">
        <a:xfrm>
          <a:off x="9013031" y="142875"/>
          <a:ext cx="1716882" cy="416719"/>
          <a:chOff x="732" y="6"/>
          <a:chExt cx="95" cy="96"/>
        </a:xfrm>
      </xdr:grpSpPr>
      <xdr:sp macro="" textlink="">
        <xdr:nvSpPr>
          <xdr:cNvPr id="3" name="WordArt 5">
            <a:extLst>
              <a:ext uri="{FF2B5EF4-FFF2-40B4-BE49-F238E27FC236}">
                <a16:creationId xmlns:a16="http://schemas.microsoft.com/office/drawing/2014/main" id="{709E74DC-7CA8-006D-5B3F-F6D2143670C8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732" y="6"/>
            <a:ext cx="95" cy="24"/>
          </a:xfrm>
          <a:prstGeom prst="rect">
            <a:avLst/>
          </a:prstGeom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latin typeface="Arial"/>
                <a:cs typeface="Arial"/>
              </a:rPr>
              <a:t>FORMULIR</a:t>
            </a:r>
          </a:p>
        </xdr:txBody>
      </xdr:sp>
      <xdr:sp macro="" textlink="">
        <xdr:nvSpPr>
          <xdr:cNvPr id="4" name="WordArt 6">
            <a:extLst>
              <a:ext uri="{FF2B5EF4-FFF2-40B4-BE49-F238E27FC236}">
                <a16:creationId xmlns:a16="http://schemas.microsoft.com/office/drawing/2014/main" id="{2F0DA50B-9AFC-ED02-B501-7CD796866AA8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734" y="43"/>
            <a:ext cx="83" cy="59"/>
          </a:xfrm>
          <a:prstGeom prst="rect">
            <a:avLst/>
          </a:prstGeom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endParaRPr lang="en-US" sz="3600" u="sng" cap="small" spc="0">
              <a:ln>
                <a:noFill/>
              </a:ln>
              <a:solidFill>
                <a:srgbClr val="FFFFFF"/>
              </a:solidFill>
              <a:latin typeface="退邐邐邐憭憭憭憭憭ﭐ憭﷨憭Ƙ憮Ԡ憮ސ憮࢘憮਀憮ಀ憮๸"/>
            </a:endParaRPr>
          </a:p>
        </xdr:txBody>
      </xdr:sp>
    </xdr:grpSp>
    <xdr:clientData/>
  </xdr:twoCellAnchor>
  <xdr:twoCellAnchor>
    <xdr:from>
      <xdr:col>5</xdr:col>
      <xdr:colOff>85725</xdr:colOff>
      <xdr:row>1</xdr:row>
      <xdr:rowOff>0</xdr:rowOff>
    </xdr:from>
    <xdr:to>
      <xdr:col>20</xdr:col>
      <xdr:colOff>76200</xdr:colOff>
      <xdr:row>3</xdr:row>
      <xdr:rowOff>257175</xdr:rowOff>
    </xdr:to>
    <xdr:sp macro="" textlink="">
      <xdr:nvSpPr>
        <xdr:cNvPr id="5" name="WordArt 1">
          <a:extLst>
            <a:ext uri="{FF2B5EF4-FFF2-40B4-BE49-F238E27FC236}">
              <a16:creationId xmlns:a16="http://schemas.microsoft.com/office/drawing/2014/main" id="{577CCD3E-0D10-49A6-8D79-607770DA6E7A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1323975" y="180975"/>
          <a:ext cx="6762750" cy="809625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sz="2000" kern="10" spc="0">
              <a:ln w="19050">
                <a:solidFill>
                  <a:srgbClr val="FFFFFF"/>
                </a:solidFill>
                <a:round/>
                <a:headEnd/>
                <a:tailEnd/>
              </a:ln>
              <a:solidFill>
                <a:srgbClr val="333333"/>
              </a:solidFill>
              <a:latin typeface="Impact"/>
            </a:rPr>
            <a:t>DOKUMEN PELAKSANAAN KEGIATAN</a:t>
          </a:r>
        </a:p>
        <a:p>
          <a:pPr algn="ctr" rtl="0">
            <a:buNone/>
          </a:pPr>
          <a:r>
            <a:rPr lang="en-US" sz="2000" kern="10" spc="0">
              <a:ln w="19050">
                <a:solidFill>
                  <a:srgbClr val="FFFFFF"/>
                </a:solidFill>
                <a:round/>
                <a:headEnd/>
                <a:tailEnd/>
              </a:ln>
              <a:solidFill>
                <a:srgbClr val="333333"/>
              </a:solidFill>
              <a:latin typeface="Impact"/>
            </a:rPr>
            <a:t>SATUAN PENDIDIKAN</a:t>
          </a:r>
        </a:p>
      </xdr:txBody>
    </xdr:sp>
    <xdr:clientData/>
  </xdr:twoCellAnchor>
  <xdr:twoCellAnchor editAs="oneCell">
    <xdr:from>
      <xdr:col>0</xdr:col>
      <xdr:colOff>145676</xdr:colOff>
      <xdr:row>0</xdr:row>
      <xdr:rowOff>100853</xdr:rowOff>
    </xdr:from>
    <xdr:to>
      <xdr:col>3</xdr:col>
      <xdr:colOff>112058</xdr:colOff>
      <xdr:row>3</xdr:row>
      <xdr:rowOff>351202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89D9A786-F8A1-4430-A5C2-A40AA33AAC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676" y="100853"/>
          <a:ext cx="709332" cy="983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381000</xdr:colOff>
      <xdr:row>0</xdr:row>
      <xdr:rowOff>142875</xdr:rowOff>
    </xdr:from>
    <xdr:to>
      <xdr:col>23</xdr:col>
      <xdr:colOff>371475</xdr:colOff>
      <xdr:row>2</xdr:row>
      <xdr:rowOff>142875</xdr:rowOff>
    </xdr:to>
    <xdr:grpSp>
      <xdr:nvGrpSpPr>
        <xdr:cNvPr id="2" name="Group 4">
          <a:extLst>
            <a:ext uri="{FF2B5EF4-FFF2-40B4-BE49-F238E27FC236}">
              <a16:creationId xmlns:a16="http://schemas.microsoft.com/office/drawing/2014/main" id="{EC78A9A4-1715-4C64-AF3A-CBBAA7D57416}"/>
            </a:ext>
          </a:extLst>
        </xdr:cNvPr>
        <xdr:cNvGrpSpPr>
          <a:grpSpLocks/>
        </xdr:cNvGrpSpPr>
      </xdr:nvGrpSpPr>
      <xdr:grpSpPr bwMode="auto">
        <a:xfrm>
          <a:off x="9058275" y="142875"/>
          <a:ext cx="1714500" cy="419100"/>
          <a:chOff x="732" y="6"/>
          <a:chExt cx="95" cy="96"/>
        </a:xfrm>
      </xdr:grpSpPr>
      <xdr:sp macro="" textlink="">
        <xdr:nvSpPr>
          <xdr:cNvPr id="3" name="WordArt 5">
            <a:extLst>
              <a:ext uri="{FF2B5EF4-FFF2-40B4-BE49-F238E27FC236}">
                <a16:creationId xmlns:a16="http://schemas.microsoft.com/office/drawing/2014/main" id="{D3D345DF-78F3-22AB-D28C-3E6240AC1A4F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732" y="6"/>
            <a:ext cx="95" cy="24"/>
          </a:xfrm>
          <a:prstGeom prst="rect">
            <a:avLst/>
          </a:prstGeom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latin typeface="Arial"/>
                <a:cs typeface="Arial"/>
              </a:rPr>
              <a:t>FORMULIR</a:t>
            </a:r>
          </a:p>
        </xdr:txBody>
      </xdr:sp>
      <xdr:sp macro="" textlink="">
        <xdr:nvSpPr>
          <xdr:cNvPr id="4" name="WordArt 6">
            <a:extLst>
              <a:ext uri="{FF2B5EF4-FFF2-40B4-BE49-F238E27FC236}">
                <a16:creationId xmlns:a16="http://schemas.microsoft.com/office/drawing/2014/main" id="{B59948BC-600F-6BE2-561E-39C651CD69B3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734" y="43"/>
            <a:ext cx="83" cy="59"/>
          </a:xfrm>
          <a:prstGeom prst="rect">
            <a:avLst/>
          </a:prstGeom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endParaRPr lang="en-US" sz="3600" u="sng" cap="small" spc="0">
              <a:ln>
                <a:noFill/>
              </a:ln>
              <a:solidFill>
                <a:srgbClr val="FFFFFF"/>
              </a:solidFill>
              <a:latin typeface="退邐邐邐憭憭憭憭憭ﭐ憭﷨憭Ƙ憮Ԡ憮ސ憮࢘憮਀憮ಀ憮๸"/>
            </a:endParaRPr>
          </a:p>
        </xdr:txBody>
      </xdr:sp>
    </xdr:grpSp>
    <xdr:clientData/>
  </xdr:twoCellAnchor>
  <xdr:twoCellAnchor>
    <xdr:from>
      <xdr:col>5</xdr:col>
      <xdr:colOff>85725</xdr:colOff>
      <xdr:row>1</xdr:row>
      <xdr:rowOff>0</xdr:rowOff>
    </xdr:from>
    <xdr:to>
      <xdr:col>20</xdr:col>
      <xdr:colOff>76200</xdr:colOff>
      <xdr:row>3</xdr:row>
      <xdr:rowOff>257175</xdr:rowOff>
    </xdr:to>
    <xdr:sp macro="" textlink="">
      <xdr:nvSpPr>
        <xdr:cNvPr id="5" name="WordArt 1">
          <a:extLst>
            <a:ext uri="{FF2B5EF4-FFF2-40B4-BE49-F238E27FC236}">
              <a16:creationId xmlns:a16="http://schemas.microsoft.com/office/drawing/2014/main" id="{CA9B4C78-A447-40E0-A3D6-8F05DEECC2A2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1323975" y="180975"/>
          <a:ext cx="6810375" cy="809625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sz="2000" kern="10" spc="0">
              <a:ln w="19050">
                <a:solidFill>
                  <a:srgbClr val="FFFFFF"/>
                </a:solidFill>
                <a:round/>
                <a:headEnd/>
                <a:tailEnd/>
              </a:ln>
              <a:solidFill>
                <a:srgbClr val="333333"/>
              </a:solidFill>
              <a:latin typeface="Impact"/>
            </a:rPr>
            <a:t>DOKUMEN PELAKSANAAN KEGIATAN</a:t>
          </a:r>
        </a:p>
        <a:p>
          <a:pPr algn="ctr" rtl="0">
            <a:buNone/>
          </a:pPr>
          <a:r>
            <a:rPr lang="en-US" sz="2000" kern="10" spc="0">
              <a:ln w="19050">
                <a:solidFill>
                  <a:srgbClr val="FFFFFF"/>
                </a:solidFill>
                <a:round/>
                <a:headEnd/>
                <a:tailEnd/>
              </a:ln>
              <a:solidFill>
                <a:srgbClr val="333333"/>
              </a:solidFill>
              <a:latin typeface="Impact"/>
            </a:rPr>
            <a:t>SATUAN PENDIDIKAN</a:t>
          </a:r>
        </a:p>
      </xdr:txBody>
    </xdr:sp>
    <xdr:clientData/>
  </xdr:twoCellAnchor>
  <xdr:twoCellAnchor editAs="oneCell">
    <xdr:from>
      <xdr:col>0</xdr:col>
      <xdr:colOff>145676</xdr:colOff>
      <xdr:row>0</xdr:row>
      <xdr:rowOff>100853</xdr:rowOff>
    </xdr:from>
    <xdr:to>
      <xdr:col>3</xdr:col>
      <xdr:colOff>112058</xdr:colOff>
      <xdr:row>3</xdr:row>
      <xdr:rowOff>351202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19A9752E-DEF9-450D-9B23-F670FC3336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676" y="100853"/>
          <a:ext cx="709332" cy="983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381000</xdr:colOff>
      <xdr:row>0</xdr:row>
      <xdr:rowOff>142875</xdr:rowOff>
    </xdr:from>
    <xdr:to>
      <xdr:col>23</xdr:col>
      <xdr:colOff>371475</xdr:colOff>
      <xdr:row>2</xdr:row>
      <xdr:rowOff>142875</xdr:rowOff>
    </xdr:to>
    <xdr:grpSp>
      <xdr:nvGrpSpPr>
        <xdr:cNvPr id="2" name="Group 4">
          <a:extLst>
            <a:ext uri="{FF2B5EF4-FFF2-40B4-BE49-F238E27FC236}">
              <a16:creationId xmlns:a16="http://schemas.microsoft.com/office/drawing/2014/main" id="{D1BFEC6D-2D06-4EB9-8313-CC86C5C0F44B}"/>
            </a:ext>
          </a:extLst>
        </xdr:cNvPr>
        <xdr:cNvGrpSpPr>
          <a:grpSpLocks/>
        </xdr:cNvGrpSpPr>
      </xdr:nvGrpSpPr>
      <xdr:grpSpPr bwMode="auto">
        <a:xfrm>
          <a:off x="9084469" y="142875"/>
          <a:ext cx="1514475" cy="416719"/>
          <a:chOff x="732" y="6"/>
          <a:chExt cx="95" cy="96"/>
        </a:xfrm>
      </xdr:grpSpPr>
      <xdr:sp macro="" textlink="">
        <xdr:nvSpPr>
          <xdr:cNvPr id="3" name="WordArt 5">
            <a:extLst>
              <a:ext uri="{FF2B5EF4-FFF2-40B4-BE49-F238E27FC236}">
                <a16:creationId xmlns:a16="http://schemas.microsoft.com/office/drawing/2014/main" id="{1CCA03AE-759A-DB1C-4CFE-7BE828531CB3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732" y="6"/>
            <a:ext cx="95" cy="24"/>
          </a:xfrm>
          <a:prstGeom prst="rect">
            <a:avLst/>
          </a:prstGeom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latin typeface="Arial"/>
                <a:cs typeface="Arial"/>
              </a:rPr>
              <a:t>FORMULIR</a:t>
            </a:r>
          </a:p>
        </xdr:txBody>
      </xdr:sp>
      <xdr:sp macro="" textlink="">
        <xdr:nvSpPr>
          <xdr:cNvPr id="4" name="WordArt 6">
            <a:extLst>
              <a:ext uri="{FF2B5EF4-FFF2-40B4-BE49-F238E27FC236}">
                <a16:creationId xmlns:a16="http://schemas.microsoft.com/office/drawing/2014/main" id="{7DFE2294-D968-11DF-0E03-5A011B9B46F1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734" y="43"/>
            <a:ext cx="83" cy="59"/>
          </a:xfrm>
          <a:prstGeom prst="rect">
            <a:avLst/>
          </a:prstGeom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endParaRPr lang="en-US" sz="3600" u="sng" cap="small" spc="0">
              <a:ln>
                <a:noFill/>
              </a:ln>
              <a:solidFill>
                <a:srgbClr val="FFFFFF"/>
              </a:solidFill>
              <a:latin typeface="退邐邐邐憭憭憭憭憭ﭐ憭﷨憭Ƙ憮Ԡ憮ސ憮࢘憮਀憮ಀ憮๸"/>
            </a:endParaRPr>
          </a:p>
        </xdr:txBody>
      </xdr:sp>
    </xdr:grpSp>
    <xdr:clientData/>
  </xdr:twoCellAnchor>
  <xdr:twoCellAnchor>
    <xdr:from>
      <xdr:col>5</xdr:col>
      <xdr:colOff>85725</xdr:colOff>
      <xdr:row>1</xdr:row>
      <xdr:rowOff>0</xdr:rowOff>
    </xdr:from>
    <xdr:to>
      <xdr:col>20</xdr:col>
      <xdr:colOff>76200</xdr:colOff>
      <xdr:row>3</xdr:row>
      <xdr:rowOff>257175</xdr:rowOff>
    </xdr:to>
    <xdr:sp macro="" textlink="">
      <xdr:nvSpPr>
        <xdr:cNvPr id="5" name="WordArt 1">
          <a:extLst>
            <a:ext uri="{FF2B5EF4-FFF2-40B4-BE49-F238E27FC236}">
              <a16:creationId xmlns:a16="http://schemas.microsoft.com/office/drawing/2014/main" id="{BB7DDB35-F4F5-47C4-9D71-F698068845E4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1323975" y="180975"/>
          <a:ext cx="6762750" cy="809625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sz="2000" kern="10" spc="0">
              <a:ln w="19050">
                <a:solidFill>
                  <a:srgbClr val="FFFFFF"/>
                </a:solidFill>
                <a:round/>
                <a:headEnd/>
                <a:tailEnd/>
              </a:ln>
              <a:solidFill>
                <a:srgbClr val="333333"/>
              </a:solidFill>
              <a:latin typeface="Impact"/>
            </a:rPr>
            <a:t>DOKUMEN PELAKSANAAN KEGIATAN</a:t>
          </a:r>
        </a:p>
        <a:p>
          <a:pPr algn="ctr" rtl="0">
            <a:buNone/>
          </a:pPr>
          <a:r>
            <a:rPr lang="en-US" sz="2000" kern="10" spc="0">
              <a:ln w="19050">
                <a:solidFill>
                  <a:srgbClr val="FFFFFF"/>
                </a:solidFill>
                <a:round/>
                <a:headEnd/>
                <a:tailEnd/>
              </a:ln>
              <a:solidFill>
                <a:srgbClr val="333333"/>
              </a:solidFill>
              <a:latin typeface="Impact"/>
            </a:rPr>
            <a:t>SATUAN PENDIDIKAN</a:t>
          </a:r>
        </a:p>
      </xdr:txBody>
    </xdr:sp>
    <xdr:clientData/>
  </xdr:twoCellAnchor>
  <xdr:twoCellAnchor editAs="oneCell">
    <xdr:from>
      <xdr:col>0</xdr:col>
      <xdr:colOff>145676</xdr:colOff>
      <xdr:row>0</xdr:row>
      <xdr:rowOff>100853</xdr:rowOff>
    </xdr:from>
    <xdr:to>
      <xdr:col>3</xdr:col>
      <xdr:colOff>112058</xdr:colOff>
      <xdr:row>3</xdr:row>
      <xdr:rowOff>351202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DB06DCEA-77D7-4580-AE08-543DB6EAFF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676" y="100853"/>
          <a:ext cx="709332" cy="983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381000</xdr:colOff>
      <xdr:row>0</xdr:row>
      <xdr:rowOff>142875</xdr:rowOff>
    </xdr:from>
    <xdr:to>
      <xdr:col>23</xdr:col>
      <xdr:colOff>371475</xdr:colOff>
      <xdr:row>2</xdr:row>
      <xdr:rowOff>142875</xdr:rowOff>
    </xdr:to>
    <xdr:grpSp>
      <xdr:nvGrpSpPr>
        <xdr:cNvPr id="2" name="Group 4">
          <a:extLst>
            <a:ext uri="{FF2B5EF4-FFF2-40B4-BE49-F238E27FC236}">
              <a16:creationId xmlns:a16="http://schemas.microsoft.com/office/drawing/2014/main" id="{B60E6DE4-917C-4CEC-A590-E8126AF4BABE}"/>
            </a:ext>
          </a:extLst>
        </xdr:cNvPr>
        <xdr:cNvGrpSpPr>
          <a:grpSpLocks/>
        </xdr:cNvGrpSpPr>
      </xdr:nvGrpSpPr>
      <xdr:grpSpPr bwMode="auto">
        <a:xfrm>
          <a:off x="9661071" y="142875"/>
          <a:ext cx="1854654" cy="421821"/>
          <a:chOff x="732" y="6"/>
          <a:chExt cx="95" cy="96"/>
        </a:xfrm>
      </xdr:grpSpPr>
      <xdr:sp macro="" textlink="">
        <xdr:nvSpPr>
          <xdr:cNvPr id="3" name="WordArt 5">
            <a:extLst>
              <a:ext uri="{FF2B5EF4-FFF2-40B4-BE49-F238E27FC236}">
                <a16:creationId xmlns:a16="http://schemas.microsoft.com/office/drawing/2014/main" id="{36AF14C3-054F-03BD-44C5-5ED02C5F3BBD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732" y="6"/>
            <a:ext cx="95" cy="24"/>
          </a:xfrm>
          <a:prstGeom prst="rect">
            <a:avLst/>
          </a:prstGeom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latin typeface="Arial"/>
                <a:cs typeface="Arial"/>
              </a:rPr>
              <a:t>FORMULIR</a:t>
            </a:r>
          </a:p>
        </xdr:txBody>
      </xdr:sp>
      <xdr:sp macro="" textlink="">
        <xdr:nvSpPr>
          <xdr:cNvPr id="4" name="WordArt 6">
            <a:extLst>
              <a:ext uri="{FF2B5EF4-FFF2-40B4-BE49-F238E27FC236}">
                <a16:creationId xmlns:a16="http://schemas.microsoft.com/office/drawing/2014/main" id="{8D2FFA7D-B74F-E2A1-E954-0CE02EFBD253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734" y="43"/>
            <a:ext cx="83" cy="59"/>
          </a:xfrm>
          <a:prstGeom prst="rect">
            <a:avLst/>
          </a:prstGeom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endParaRPr lang="en-US" sz="3600" u="sng" cap="small" spc="0">
              <a:ln>
                <a:noFill/>
              </a:ln>
              <a:solidFill>
                <a:srgbClr val="FFFFFF"/>
              </a:solidFill>
              <a:latin typeface="退邐邐邐憭憭憭憭憭ﭐ憭﷨憭Ƙ憮Ԡ憮ސ憮࢘憮਀憮ಀ憮๸"/>
            </a:endParaRPr>
          </a:p>
        </xdr:txBody>
      </xdr:sp>
    </xdr:grpSp>
    <xdr:clientData/>
  </xdr:twoCellAnchor>
  <xdr:twoCellAnchor>
    <xdr:from>
      <xdr:col>5</xdr:col>
      <xdr:colOff>85725</xdr:colOff>
      <xdr:row>1</xdr:row>
      <xdr:rowOff>0</xdr:rowOff>
    </xdr:from>
    <xdr:to>
      <xdr:col>20</xdr:col>
      <xdr:colOff>76200</xdr:colOff>
      <xdr:row>3</xdr:row>
      <xdr:rowOff>257175</xdr:rowOff>
    </xdr:to>
    <xdr:sp macro="" textlink="">
      <xdr:nvSpPr>
        <xdr:cNvPr id="5" name="WordArt 1">
          <a:extLst>
            <a:ext uri="{FF2B5EF4-FFF2-40B4-BE49-F238E27FC236}">
              <a16:creationId xmlns:a16="http://schemas.microsoft.com/office/drawing/2014/main" id="{83910231-D797-43DF-AE5E-39A1671DF4C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1323975" y="180975"/>
          <a:ext cx="6762750" cy="809625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sz="2000" kern="10" spc="0">
              <a:ln w="19050">
                <a:solidFill>
                  <a:srgbClr val="FFFFFF"/>
                </a:solidFill>
                <a:round/>
                <a:headEnd/>
                <a:tailEnd/>
              </a:ln>
              <a:solidFill>
                <a:srgbClr val="333333"/>
              </a:solidFill>
              <a:latin typeface="Impact"/>
            </a:rPr>
            <a:t>DOKUMEN PELAKSANAAN KEGIATAN</a:t>
          </a:r>
        </a:p>
        <a:p>
          <a:pPr algn="ctr" rtl="0">
            <a:buNone/>
          </a:pPr>
          <a:r>
            <a:rPr lang="en-US" sz="2000" kern="10" spc="0">
              <a:ln w="19050">
                <a:solidFill>
                  <a:srgbClr val="FFFFFF"/>
                </a:solidFill>
                <a:round/>
                <a:headEnd/>
                <a:tailEnd/>
              </a:ln>
              <a:solidFill>
                <a:srgbClr val="333333"/>
              </a:solidFill>
              <a:latin typeface="Impact"/>
            </a:rPr>
            <a:t>SATUAN PENDIDIKAN</a:t>
          </a:r>
        </a:p>
      </xdr:txBody>
    </xdr:sp>
    <xdr:clientData/>
  </xdr:twoCellAnchor>
  <xdr:twoCellAnchor editAs="oneCell">
    <xdr:from>
      <xdr:col>0</xdr:col>
      <xdr:colOff>145676</xdr:colOff>
      <xdr:row>0</xdr:row>
      <xdr:rowOff>100853</xdr:rowOff>
    </xdr:from>
    <xdr:to>
      <xdr:col>3</xdr:col>
      <xdr:colOff>112058</xdr:colOff>
      <xdr:row>3</xdr:row>
      <xdr:rowOff>351202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16C75886-92CB-4163-9D25-3C1A102A42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676" y="100853"/>
          <a:ext cx="709332" cy="983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381000</xdr:colOff>
      <xdr:row>0</xdr:row>
      <xdr:rowOff>142875</xdr:rowOff>
    </xdr:from>
    <xdr:to>
      <xdr:col>23</xdr:col>
      <xdr:colOff>371475</xdr:colOff>
      <xdr:row>2</xdr:row>
      <xdr:rowOff>142875</xdr:rowOff>
    </xdr:to>
    <xdr:grpSp>
      <xdr:nvGrpSpPr>
        <xdr:cNvPr id="2" name="Group 4">
          <a:extLst>
            <a:ext uri="{FF2B5EF4-FFF2-40B4-BE49-F238E27FC236}">
              <a16:creationId xmlns:a16="http://schemas.microsoft.com/office/drawing/2014/main" id="{26F33CED-B37E-405A-B0C7-82DC03E2F629}"/>
            </a:ext>
          </a:extLst>
        </xdr:cNvPr>
        <xdr:cNvGrpSpPr>
          <a:grpSpLocks/>
        </xdr:cNvGrpSpPr>
      </xdr:nvGrpSpPr>
      <xdr:grpSpPr bwMode="auto">
        <a:xfrm>
          <a:off x="9060656" y="142875"/>
          <a:ext cx="1716882" cy="416719"/>
          <a:chOff x="732" y="6"/>
          <a:chExt cx="95" cy="96"/>
        </a:xfrm>
      </xdr:grpSpPr>
      <xdr:sp macro="" textlink="">
        <xdr:nvSpPr>
          <xdr:cNvPr id="3" name="WordArt 5">
            <a:extLst>
              <a:ext uri="{FF2B5EF4-FFF2-40B4-BE49-F238E27FC236}">
                <a16:creationId xmlns:a16="http://schemas.microsoft.com/office/drawing/2014/main" id="{E616C738-559E-C473-D8E1-0C0E09B3470C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732" y="6"/>
            <a:ext cx="95" cy="24"/>
          </a:xfrm>
          <a:prstGeom prst="rect">
            <a:avLst/>
          </a:prstGeom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latin typeface="Arial"/>
                <a:cs typeface="Arial"/>
              </a:rPr>
              <a:t>FORMULIR</a:t>
            </a:r>
          </a:p>
        </xdr:txBody>
      </xdr:sp>
      <xdr:sp macro="" textlink="">
        <xdr:nvSpPr>
          <xdr:cNvPr id="4" name="WordArt 6">
            <a:extLst>
              <a:ext uri="{FF2B5EF4-FFF2-40B4-BE49-F238E27FC236}">
                <a16:creationId xmlns:a16="http://schemas.microsoft.com/office/drawing/2014/main" id="{43B9282E-5F1D-A2F4-E61E-156086C18303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734" y="43"/>
            <a:ext cx="83" cy="59"/>
          </a:xfrm>
          <a:prstGeom prst="rect">
            <a:avLst/>
          </a:prstGeom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endParaRPr lang="en-US" sz="3600" u="sng" cap="small" spc="0">
              <a:ln>
                <a:noFill/>
              </a:ln>
              <a:solidFill>
                <a:srgbClr val="FFFFFF"/>
              </a:solidFill>
              <a:latin typeface="退邐邐邐憭憭憭憭憭ﭐ憭﷨憭Ƙ憮Ԡ憮ސ憮࢘憮਀憮ಀ憮๸"/>
            </a:endParaRPr>
          </a:p>
        </xdr:txBody>
      </xdr:sp>
    </xdr:grpSp>
    <xdr:clientData/>
  </xdr:twoCellAnchor>
  <xdr:twoCellAnchor>
    <xdr:from>
      <xdr:col>5</xdr:col>
      <xdr:colOff>85725</xdr:colOff>
      <xdr:row>1</xdr:row>
      <xdr:rowOff>0</xdr:rowOff>
    </xdr:from>
    <xdr:to>
      <xdr:col>20</xdr:col>
      <xdr:colOff>76200</xdr:colOff>
      <xdr:row>3</xdr:row>
      <xdr:rowOff>257175</xdr:rowOff>
    </xdr:to>
    <xdr:sp macro="" textlink="">
      <xdr:nvSpPr>
        <xdr:cNvPr id="5" name="WordArt 1">
          <a:extLst>
            <a:ext uri="{FF2B5EF4-FFF2-40B4-BE49-F238E27FC236}">
              <a16:creationId xmlns:a16="http://schemas.microsoft.com/office/drawing/2014/main" id="{9C608C82-EF7C-4350-B848-BC178C6E97F9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1323975" y="180975"/>
          <a:ext cx="6810375" cy="809625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sz="2000" kern="10" spc="0">
              <a:ln w="19050">
                <a:solidFill>
                  <a:srgbClr val="FFFFFF"/>
                </a:solidFill>
                <a:round/>
                <a:headEnd/>
                <a:tailEnd/>
              </a:ln>
              <a:solidFill>
                <a:srgbClr val="333333"/>
              </a:solidFill>
              <a:latin typeface="Impact"/>
            </a:rPr>
            <a:t>DOKUMEN PELAKSANAAN KEGIATAN</a:t>
          </a:r>
        </a:p>
        <a:p>
          <a:pPr algn="ctr" rtl="0">
            <a:buNone/>
          </a:pPr>
          <a:r>
            <a:rPr lang="en-US" sz="2000" kern="10" spc="0">
              <a:ln w="19050">
                <a:solidFill>
                  <a:srgbClr val="FFFFFF"/>
                </a:solidFill>
                <a:round/>
                <a:headEnd/>
                <a:tailEnd/>
              </a:ln>
              <a:solidFill>
                <a:srgbClr val="333333"/>
              </a:solidFill>
              <a:latin typeface="Impact"/>
            </a:rPr>
            <a:t>SATUAN PENDIDIKAN</a:t>
          </a:r>
        </a:p>
      </xdr:txBody>
    </xdr:sp>
    <xdr:clientData/>
  </xdr:twoCellAnchor>
  <xdr:twoCellAnchor editAs="oneCell">
    <xdr:from>
      <xdr:col>0</xdr:col>
      <xdr:colOff>145676</xdr:colOff>
      <xdr:row>0</xdr:row>
      <xdr:rowOff>100853</xdr:rowOff>
    </xdr:from>
    <xdr:to>
      <xdr:col>3</xdr:col>
      <xdr:colOff>112058</xdr:colOff>
      <xdr:row>3</xdr:row>
      <xdr:rowOff>351202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5C9D89C4-1ADC-41E8-8C53-304F2ECD1F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676" y="100853"/>
          <a:ext cx="709332" cy="983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381000</xdr:colOff>
      <xdr:row>0</xdr:row>
      <xdr:rowOff>142875</xdr:rowOff>
    </xdr:from>
    <xdr:to>
      <xdr:col>23</xdr:col>
      <xdr:colOff>371475</xdr:colOff>
      <xdr:row>2</xdr:row>
      <xdr:rowOff>142875</xdr:rowOff>
    </xdr:to>
    <xdr:grpSp>
      <xdr:nvGrpSpPr>
        <xdr:cNvPr id="2" name="Group 4">
          <a:extLst>
            <a:ext uri="{FF2B5EF4-FFF2-40B4-BE49-F238E27FC236}">
              <a16:creationId xmlns:a16="http://schemas.microsoft.com/office/drawing/2014/main" id="{CA6CCE8B-028E-49B9-BA37-99DAB44DEA02}"/>
            </a:ext>
          </a:extLst>
        </xdr:cNvPr>
        <xdr:cNvGrpSpPr>
          <a:grpSpLocks/>
        </xdr:cNvGrpSpPr>
      </xdr:nvGrpSpPr>
      <xdr:grpSpPr bwMode="auto">
        <a:xfrm>
          <a:off x="9215438" y="142875"/>
          <a:ext cx="1716881" cy="416719"/>
          <a:chOff x="732" y="6"/>
          <a:chExt cx="95" cy="96"/>
        </a:xfrm>
      </xdr:grpSpPr>
      <xdr:sp macro="" textlink="">
        <xdr:nvSpPr>
          <xdr:cNvPr id="3" name="WordArt 5">
            <a:extLst>
              <a:ext uri="{FF2B5EF4-FFF2-40B4-BE49-F238E27FC236}">
                <a16:creationId xmlns:a16="http://schemas.microsoft.com/office/drawing/2014/main" id="{3E67D775-4E78-CE7F-C838-2E433206A455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732" y="6"/>
            <a:ext cx="95" cy="24"/>
          </a:xfrm>
          <a:prstGeom prst="rect">
            <a:avLst/>
          </a:prstGeom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latin typeface="Arial"/>
                <a:cs typeface="Arial"/>
              </a:rPr>
              <a:t>FORMULIR</a:t>
            </a:r>
          </a:p>
        </xdr:txBody>
      </xdr:sp>
      <xdr:sp macro="" textlink="">
        <xdr:nvSpPr>
          <xdr:cNvPr id="4" name="WordArt 6">
            <a:extLst>
              <a:ext uri="{FF2B5EF4-FFF2-40B4-BE49-F238E27FC236}">
                <a16:creationId xmlns:a16="http://schemas.microsoft.com/office/drawing/2014/main" id="{036671F9-1BD4-CE59-B4D1-EB7A2401B57C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734" y="43"/>
            <a:ext cx="83" cy="59"/>
          </a:xfrm>
          <a:prstGeom prst="rect">
            <a:avLst/>
          </a:prstGeom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endParaRPr lang="en-US" sz="3600" u="sng" cap="small" spc="0">
              <a:ln>
                <a:noFill/>
              </a:ln>
              <a:solidFill>
                <a:srgbClr val="FFFFFF"/>
              </a:solidFill>
              <a:latin typeface="退邐邐邐憭憭憭憭憭ﭐ憭﷨憭Ƙ憮Ԡ憮ސ憮࢘憮਀憮ಀ憮๸"/>
            </a:endParaRPr>
          </a:p>
        </xdr:txBody>
      </xdr:sp>
    </xdr:grpSp>
    <xdr:clientData/>
  </xdr:twoCellAnchor>
  <xdr:twoCellAnchor>
    <xdr:from>
      <xdr:col>5</xdr:col>
      <xdr:colOff>85725</xdr:colOff>
      <xdr:row>1</xdr:row>
      <xdr:rowOff>0</xdr:rowOff>
    </xdr:from>
    <xdr:to>
      <xdr:col>20</xdr:col>
      <xdr:colOff>76200</xdr:colOff>
      <xdr:row>3</xdr:row>
      <xdr:rowOff>257175</xdr:rowOff>
    </xdr:to>
    <xdr:sp macro="" textlink="">
      <xdr:nvSpPr>
        <xdr:cNvPr id="5" name="WordArt 1">
          <a:extLst>
            <a:ext uri="{FF2B5EF4-FFF2-40B4-BE49-F238E27FC236}">
              <a16:creationId xmlns:a16="http://schemas.microsoft.com/office/drawing/2014/main" id="{DA1C1F1D-0CA6-45A8-AF77-BC30F194B2DF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1323975" y="180975"/>
          <a:ext cx="6810375" cy="809625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sz="2000" kern="10" spc="0">
              <a:ln w="19050">
                <a:solidFill>
                  <a:srgbClr val="FFFFFF"/>
                </a:solidFill>
                <a:round/>
                <a:headEnd/>
                <a:tailEnd/>
              </a:ln>
              <a:solidFill>
                <a:srgbClr val="333333"/>
              </a:solidFill>
              <a:latin typeface="Impact"/>
            </a:rPr>
            <a:t>DOKUMEN PELAKSANAAN KEGIATAN</a:t>
          </a:r>
        </a:p>
        <a:p>
          <a:pPr algn="ctr" rtl="0">
            <a:buNone/>
          </a:pPr>
          <a:r>
            <a:rPr lang="en-US" sz="2000" kern="10" spc="0">
              <a:ln w="19050">
                <a:solidFill>
                  <a:srgbClr val="FFFFFF"/>
                </a:solidFill>
                <a:round/>
                <a:headEnd/>
                <a:tailEnd/>
              </a:ln>
              <a:solidFill>
                <a:srgbClr val="333333"/>
              </a:solidFill>
              <a:latin typeface="Impact"/>
            </a:rPr>
            <a:t>SATUAN PENDIDIKAN</a:t>
          </a:r>
        </a:p>
      </xdr:txBody>
    </xdr:sp>
    <xdr:clientData/>
  </xdr:twoCellAnchor>
  <xdr:twoCellAnchor editAs="oneCell">
    <xdr:from>
      <xdr:col>0</xdr:col>
      <xdr:colOff>145676</xdr:colOff>
      <xdr:row>0</xdr:row>
      <xdr:rowOff>100853</xdr:rowOff>
    </xdr:from>
    <xdr:to>
      <xdr:col>3</xdr:col>
      <xdr:colOff>112058</xdr:colOff>
      <xdr:row>3</xdr:row>
      <xdr:rowOff>351202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E3AB9E99-3B0B-4BCC-B5CC-651B25A94A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676" y="100853"/>
          <a:ext cx="709332" cy="983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381000</xdr:colOff>
      <xdr:row>0</xdr:row>
      <xdr:rowOff>142875</xdr:rowOff>
    </xdr:from>
    <xdr:to>
      <xdr:col>23</xdr:col>
      <xdr:colOff>371475</xdr:colOff>
      <xdr:row>2</xdr:row>
      <xdr:rowOff>142875</xdr:rowOff>
    </xdr:to>
    <xdr:grpSp>
      <xdr:nvGrpSpPr>
        <xdr:cNvPr id="2" name="Group 4">
          <a:extLst>
            <a:ext uri="{FF2B5EF4-FFF2-40B4-BE49-F238E27FC236}">
              <a16:creationId xmlns:a16="http://schemas.microsoft.com/office/drawing/2014/main" id="{293FD877-9F8A-44FD-BEE1-43A6F604CFD7}"/>
            </a:ext>
          </a:extLst>
        </xdr:cNvPr>
        <xdr:cNvGrpSpPr>
          <a:grpSpLocks/>
        </xdr:cNvGrpSpPr>
      </xdr:nvGrpSpPr>
      <xdr:grpSpPr bwMode="auto">
        <a:xfrm>
          <a:off x="9441656" y="142875"/>
          <a:ext cx="1752600" cy="416719"/>
          <a:chOff x="732" y="6"/>
          <a:chExt cx="95" cy="96"/>
        </a:xfrm>
      </xdr:grpSpPr>
      <xdr:sp macro="" textlink="">
        <xdr:nvSpPr>
          <xdr:cNvPr id="3" name="WordArt 5">
            <a:extLst>
              <a:ext uri="{FF2B5EF4-FFF2-40B4-BE49-F238E27FC236}">
                <a16:creationId xmlns:a16="http://schemas.microsoft.com/office/drawing/2014/main" id="{58FE91E3-05BA-DBA6-2134-38F4D29D4E18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732" y="6"/>
            <a:ext cx="95" cy="24"/>
          </a:xfrm>
          <a:prstGeom prst="rect">
            <a:avLst/>
          </a:prstGeom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latin typeface="Arial"/>
                <a:cs typeface="Arial"/>
              </a:rPr>
              <a:t>FORMULIR</a:t>
            </a:r>
          </a:p>
        </xdr:txBody>
      </xdr:sp>
      <xdr:sp macro="" textlink="">
        <xdr:nvSpPr>
          <xdr:cNvPr id="4" name="WordArt 6">
            <a:extLst>
              <a:ext uri="{FF2B5EF4-FFF2-40B4-BE49-F238E27FC236}">
                <a16:creationId xmlns:a16="http://schemas.microsoft.com/office/drawing/2014/main" id="{2892BDCA-B20D-63F0-91FA-A172135AD91F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734" y="43"/>
            <a:ext cx="83" cy="59"/>
          </a:xfrm>
          <a:prstGeom prst="rect">
            <a:avLst/>
          </a:prstGeom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endParaRPr lang="en-US" sz="3600" u="sng" cap="small" spc="0">
              <a:ln>
                <a:noFill/>
              </a:ln>
              <a:solidFill>
                <a:srgbClr val="FFFFFF"/>
              </a:solidFill>
              <a:latin typeface="退邐邐邐憭憭憭憭憭ﭐ憭﷨憭Ƙ憮Ԡ憮ސ憮࢘憮਀憮ಀ憮๸"/>
            </a:endParaRPr>
          </a:p>
        </xdr:txBody>
      </xdr:sp>
    </xdr:grpSp>
    <xdr:clientData/>
  </xdr:twoCellAnchor>
  <xdr:twoCellAnchor>
    <xdr:from>
      <xdr:col>5</xdr:col>
      <xdr:colOff>85725</xdr:colOff>
      <xdr:row>1</xdr:row>
      <xdr:rowOff>0</xdr:rowOff>
    </xdr:from>
    <xdr:to>
      <xdr:col>20</xdr:col>
      <xdr:colOff>76200</xdr:colOff>
      <xdr:row>3</xdr:row>
      <xdr:rowOff>257175</xdr:rowOff>
    </xdr:to>
    <xdr:sp macro="" textlink="">
      <xdr:nvSpPr>
        <xdr:cNvPr id="5" name="WordArt 1">
          <a:extLst>
            <a:ext uri="{FF2B5EF4-FFF2-40B4-BE49-F238E27FC236}">
              <a16:creationId xmlns:a16="http://schemas.microsoft.com/office/drawing/2014/main" id="{0A529EA6-2A39-4482-8C5C-01049149C5E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1323975" y="180975"/>
          <a:ext cx="6762750" cy="809625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sz="2000" kern="10" spc="0">
              <a:ln w="19050">
                <a:solidFill>
                  <a:srgbClr val="FFFFFF"/>
                </a:solidFill>
                <a:round/>
                <a:headEnd/>
                <a:tailEnd/>
              </a:ln>
              <a:solidFill>
                <a:srgbClr val="333333"/>
              </a:solidFill>
              <a:latin typeface="Impact"/>
            </a:rPr>
            <a:t>DOKUMEN PELAKSANAAN KEGIATAN</a:t>
          </a:r>
        </a:p>
        <a:p>
          <a:pPr algn="ctr" rtl="0">
            <a:buNone/>
          </a:pPr>
          <a:r>
            <a:rPr lang="en-US" sz="2000" kern="10" spc="0">
              <a:ln w="19050">
                <a:solidFill>
                  <a:srgbClr val="FFFFFF"/>
                </a:solidFill>
                <a:round/>
                <a:headEnd/>
                <a:tailEnd/>
              </a:ln>
              <a:solidFill>
                <a:srgbClr val="333333"/>
              </a:solidFill>
              <a:latin typeface="Impact"/>
            </a:rPr>
            <a:t>SATUAN PENDIDIKAN</a:t>
          </a:r>
        </a:p>
      </xdr:txBody>
    </xdr:sp>
    <xdr:clientData/>
  </xdr:twoCellAnchor>
  <xdr:twoCellAnchor editAs="oneCell">
    <xdr:from>
      <xdr:col>0</xdr:col>
      <xdr:colOff>145676</xdr:colOff>
      <xdr:row>0</xdr:row>
      <xdr:rowOff>100853</xdr:rowOff>
    </xdr:from>
    <xdr:to>
      <xdr:col>3</xdr:col>
      <xdr:colOff>112058</xdr:colOff>
      <xdr:row>3</xdr:row>
      <xdr:rowOff>351202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4C1F38F5-6715-4A40-9377-846DAEB57E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676" y="100853"/>
          <a:ext cx="709332" cy="983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381000</xdr:colOff>
      <xdr:row>0</xdr:row>
      <xdr:rowOff>142875</xdr:rowOff>
    </xdr:from>
    <xdr:to>
      <xdr:col>23</xdr:col>
      <xdr:colOff>371475</xdr:colOff>
      <xdr:row>2</xdr:row>
      <xdr:rowOff>142875</xdr:rowOff>
    </xdr:to>
    <xdr:grpSp>
      <xdr:nvGrpSpPr>
        <xdr:cNvPr id="2" name="Group 4">
          <a:extLst>
            <a:ext uri="{FF2B5EF4-FFF2-40B4-BE49-F238E27FC236}">
              <a16:creationId xmlns:a16="http://schemas.microsoft.com/office/drawing/2014/main" id="{E5A9D2CC-2350-42C8-8390-73BFC7876366}"/>
            </a:ext>
          </a:extLst>
        </xdr:cNvPr>
        <xdr:cNvGrpSpPr>
          <a:grpSpLocks/>
        </xdr:cNvGrpSpPr>
      </xdr:nvGrpSpPr>
      <xdr:grpSpPr bwMode="auto">
        <a:xfrm>
          <a:off x="8974667" y="142875"/>
          <a:ext cx="1715558" cy="423333"/>
          <a:chOff x="732" y="6"/>
          <a:chExt cx="95" cy="96"/>
        </a:xfrm>
      </xdr:grpSpPr>
      <xdr:sp macro="" textlink="">
        <xdr:nvSpPr>
          <xdr:cNvPr id="3" name="WordArt 5">
            <a:extLst>
              <a:ext uri="{FF2B5EF4-FFF2-40B4-BE49-F238E27FC236}">
                <a16:creationId xmlns:a16="http://schemas.microsoft.com/office/drawing/2014/main" id="{67EDB599-0359-83F0-19E0-361F0F225471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732" y="6"/>
            <a:ext cx="95" cy="24"/>
          </a:xfrm>
          <a:prstGeom prst="rect">
            <a:avLst/>
          </a:prstGeom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latin typeface="Arial"/>
                <a:cs typeface="Arial"/>
              </a:rPr>
              <a:t>FORMULIR</a:t>
            </a:r>
          </a:p>
        </xdr:txBody>
      </xdr:sp>
      <xdr:sp macro="" textlink="">
        <xdr:nvSpPr>
          <xdr:cNvPr id="4" name="WordArt 6">
            <a:extLst>
              <a:ext uri="{FF2B5EF4-FFF2-40B4-BE49-F238E27FC236}">
                <a16:creationId xmlns:a16="http://schemas.microsoft.com/office/drawing/2014/main" id="{B4AA3759-AAFF-05F5-D4F3-31697CC07220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734" y="43"/>
            <a:ext cx="83" cy="59"/>
          </a:xfrm>
          <a:prstGeom prst="rect">
            <a:avLst/>
          </a:prstGeom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endParaRPr lang="en-US" sz="3600" u="sng" cap="small" spc="0">
              <a:ln>
                <a:noFill/>
              </a:ln>
              <a:solidFill>
                <a:srgbClr val="FFFFFF"/>
              </a:solidFill>
              <a:latin typeface="退邐邐邐憭憭憭憭憭ﭐ憭﷨憭Ƙ憮Ԡ憮ސ憮࢘憮਀憮ಀ憮๸"/>
            </a:endParaRPr>
          </a:p>
        </xdr:txBody>
      </xdr:sp>
    </xdr:grpSp>
    <xdr:clientData/>
  </xdr:twoCellAnchor>
  <xdr:twoCellAnchor>
    <xdr:from>
      <xdr:col>5</xdr:col>
      <xdr:colOff>85725</xdr:colOff>
      <xdr:row>1</xdr:row>
      <xdr:rowOff>0</xdr:rowOff>
    </xdr:from>
    <xdr:to>
      <xdr:col>20</xdr:col>
      <xdr:colOff>76200</xdr:colOff>
      <xdr:row>3</xdr:row>
      <xdr:rowOff>257175</xdr:rowOff>
    </xdr:to>
    <xdr:sp macro="" textlink="">
      <xdr:nvSpPr>
        <xdr:cNvPr id="5" name="WordArt 1">
          <a:extLst>
            <a:ext uri="{FF2B5EF4-FFF2-40B4-BE49-F238E27FC236}">
              <a16:creationId xmlns:a16="http://schemas.microsoft.com/office/drawing/2014/main" id="{9F874C9F-660A-4419-A58B-C29F63D15475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1323975" y="180975"/>
          <a:ext cx="6762750" cy="809625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sz="2000" kern="10" spc="0">
              <a:ln w="19050">
                <a:solidFill>
                  <a:srgbClr val="FFFFFF"/>
                </a:solidFill>
                <a:round/>
                <a:headEnd/>
                <a:tailEnd/>
              </a:ln>
              <a:solidFill>
                <a:srgbClr val="333333"/>
              </a:solidFill>
              <a:latin typeface="Impact"/>
            </a:rPr>
            <a:t>DOKUMEN PELAKSANAAN KEGIATAN</a:t>
          </a:r>
        </a:p>
        <a:p>
          <a:pPr algn="ctr" rtl="0">
            <a:buNone/>
          </a:pPr>
          <a:r>
            <a:rPr lang="en-US" sz="2000" kern="10" spc="0">
              <a:ln w="19050">
                <a:solidFill>
                  <a:srgbClr val="FFFFFF"/>
                </a:solidFill>
                <a:round/>
                <a:headEnd/>
                <a:tailEnd/>
              </a:ln>
              <a:solidFill>
                <a:srgbClr val="333333"/>
              </a:solidFill>
              <a:latin typeface="Impact"/>
            </a:rPr>
            <a:t>SATUAN PENDIDIKAN</a:t>
          </a:r>
        </a:p>
      </xdr:txBody>
    </xdr:sp>
    <xdr:clientData/>
  </xdr:twoCellAnchor>
  <xdr:twoCellAnchor editAs="oneCell">
    <xdr:from>
      <xdr:col>0</xdr:col>
      <xdr:colOff>145676</xdr:colOff>
      <xdr:row>0</xdr:row>
      <xdr:rowOff>100853</xdr:rowOff>
    </xdr:from>
    <xdr:to>
      <xdr:col>3</xdr:col>
      <xdr:colOff>112058</xdr:colOff>
      <xdr:row>3</xdr:row>
      <xdr:rowOff>351202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92AB8B55-D390-4DC9-B728-3FD5C45E7A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676" y="100853"/>
          <a:ext cx="709332" cy="983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381000</xdr:colOff>
      <xdr:row>0</xdr:row>
      <xdr:rowOff>142875</xdr:rowOff>
    </xdr:from>
    <xdr:to>
      <xdr:col>23</xdr:col>
      <xdr:colOff>371475</xdr:colOff>
      <xdr:row>2</xdr:row>
      <xdr:rowOff>142875</xdr:rowOff>
    </xdr:to>
    <xdr:grpSp>
      <xdr:nvGrpSpPr>
        <xdr:cNvPr id="2" name="Group 4">
          <a:extLst>
            <a:ext uri="{FF2B5EF4-FFF2-40B4-BE49-F238E27FC236}">
              <a16:creationId xmlns:a16="http://schemas.microsoft.com/office/drawing/2014/main" id="{7DFA014C-46D6-43CE-8197-E65E7F31DFE3}"/>
            </a:ext>
          </a:extLst>
        </xdr:cNvPr>
        <xdr:cNvGrpSpPr>
          <a:grpSpLocks/>
        </xdr:cNvGrpSpPr>
      </xdr:nvGrpSpPr>
      <xdr:grpSpPr bwMode="auto">
        <a:xfrm>
          <a:off x="9101667" y="142875"/>
          <a:ext cx="1715558" cy="423333"/>
          <a:chOff x="732" y="6"/>
          <a:chExt cx="95" cy="96"/>
        </a:xfrm>
      </xdr:grpSpPr>
      <xdr:sp macro="" textlink="">
        <xdr:nvSpPr>
          <xdr:cNvPr id="3" name="WordArt 5">
            <a:extLst>
              <a:ext uri="{FF2B5EF4-FFF2-40B4-BE49-F238E27FC236}">
                <a16:creationId xmlns:a16="http://schemas.microsoft.com/office/drawing/2014/main" id="{F6ED9502-893B-7A5C-3980-15807577FD5B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732" y="6"/>
            <a:ext cx="95" cy="24"/>
          </a:xfrm>
          <a:prstGeom prst="rect">
            <a:avLst/>
          </a:prstGeom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sz="3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latin typeface="Arial"/>
                <a:cs typeface="Arial"/>
              </a:rPr>
              <a:t>FORMULIR</a:t>
            </a:r>
          </a:p>
        </xdr:txBody>
      </xdr:sp>
      <xdr:sp macro="" textlink="">
        <xdr:nvSpPr>
          <xdr:cNvPr id="4" name="WordArt 6">
            <a:extLst>
              <a:ext uri="{FF2B5EF4-FFF2-40B4-BE49-F238E27FC236}">
                <a16:creationId xmlns:a16="http://schemas.microsoft.com/office/drawing/2014/main" id="{669D777F-815A-6167-C902-582EC6112431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734" y="43"/>
            <a:ext cx="83" cy="59"/>
          </a:xfrm>
          <a:prstGeom prst="rect">
            <a:avLst/>
          </a:prstGeom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endParaRPr lang="en-US" sz="3600" u="sng" cap="small" spc="0">
              <a:ln>
                <a:noFill/>
              </a:ln>
              <a:solidFill>
                <a:srgbClr val="FFFFFF"/>
              </a:solidFill>
              <a:latin typeface="退邐邐邐憭憭憭憭憭ﭐ憭﷨憭Ƙ憮Ԡ憮ސ憮࢘憮਀憮ಀ憮๸"/>
            </a:endParaRPr>
          </a:p>
        </xdr:txBody>
      </xdr:sp>
    </xdr:grpSp>
    <xdr:clientData/>
  </xdr:twoCellAnchor>
  <xdr:twoCellAnchor>
    <xdr:from>
      <xdr:col>5</xdr:col>
      <xdr:colOff>85725</xdr:colOff>
      <xdr:row>1</xdr:row>
      <xdr:rowOff>0</xdr:rowOff>
    </xdr:from>
    <xdr:to>
      <xdr:col>20</xdr:col>
      <xdr:colOff>76200</xdr:colOff>
      <xdr:row>3</xdr:row>
      <xdr:rowOff>257175</xdr:rowOff>
    </xdr:to>
    <xdr:sp macro="" textlink="">
      <xdr:nvSpPr>
        <xdr:cNvPr id="5" name="WordArt 1">
          <a:extLst>
            <a:ext uri="{FF2B5EF4-FFF2-40B4-BE49-F238E27FC236}">
              <a16:creationId xmlns:a16="http://schemas.microsoft.com/office/drawing/2014/main" id="{955EA095-42F0-4078-9991-11D75098D3B1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1323975" y="180975"/>
          <a:ext cx="6762750" cy="809625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sz="2000" kern="10" spc="0">
              <a:ln w="19050">
                <a:solidFill>
                  <a:srgbClr val="FFFFFF"/>
                </a:solidFill>
                <a:round/>
                <a:headEnd/>
                <a:tailEnd/>
              </a:ln>
              <a:solidFill>
                <a:srgbClr val="333333"/>
              </a:solidFill>
              <a:latin typeface="Impact"/>
            </a:rPr>
            <a:t>DOKUMEN PELAKSANAAN KEGIATAN</a:t>
          </a:r>
        </a:p>
        <a:p>
          <a:pPr algn="ctr" rtl="0">
            <a:buNone/>
          </a:pPr>
          <a:r>
            <a:rPr lang="en-US" sz="2000" kern="10" spc="0">
              <a:ln w="19050">
                <a:solidFill>
                  <a:srgbClr val="FFFFFF"/>
                </a:solidFill>
                <a:round/>
                <a:headEnd/>
                <a:tailEnd/>
              </a:ln>
              <a:solidFill>
                <a:srgbClr val="333333"/>
              </a:solidFill>
              <a:latin typeface="Impact"/>
            </a:rPr>
            <a:t>SATUAN PENDIDIKAN</a:t>
          </a:r>
        </a:p>
      </xdr:txBody>
    </xdr:sp>
    <xdr:clientData/>
  </xdr:twoCellAnchor>
  <xdr:twoCellAnchor editAs="oneCell">
    <xdr:from>
      <xdr:col>0</xdr:col>
      <xdr:colOff>145676</xdr:colOff>
      <xdr:row>0</xdr:row>
      <xdr:rowOff>100853</xdr:rowOff>
    </xdr:from>
    <xdr:to>
      <xdr:col>3</xdr:col>
      <xdr:colOff>112058</xdr:colOff>
      <xdr:row>3</xdr:row>
      <xdr:rowOff>351202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6D71014B-EF55-438C-BC32-84B86CC9E2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676" y="100853"/>
          <a:ext cx="709332" cy="983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F4EFA-497D-4F9F-ACE5-CADE9BA5C816}">
  <dimension ref="B1:K34"/>
  <sheetViews>
    <sheetView showGridLines="0" topLeftCell="A28" workbookViewId="0">
      <selection activeCell="X14" sqref="X14"/>
    </sheetView>
  </sheetViews>
  <sheetFormatPr defaultColWidth="9.140625" defaultRowHeight="15" x14ac:dyDescent="0.25"/>
  <cols>
    <col min="1" max="1" width="2" style="4" customWidth="1"/>
    <col min="2" max="2" width="9.5703125" style="4" customWidth="1"/>
    <col min="3" max="9" width="9.140625" style="4"/>
    <col min="10" max="10" width="9.140625" style="4" customWidth="1"/>
    <col min="11" max="11" width="12.140625" style="4" customWidth="1"/>
    <col min="12" max="16384" width="9.140625" style="4"/>
  </cols>
  <sheetData>
    <row r="1" spans="2:11" x14ac:dyDescent="0.25">
      <c r="B1" s="1"/>
      <c r="C1" s="2"/>
      <c r="D1" s="2"/>
      <c r="E1" s="2"/>
      <c r="F1" s="2"/>
      <c r="G1" s="2"/>
      <c r="H1" s="2"/>
      <c r="I1" s="2"/>
      <c r="J1" s="2"/>
      <c r="K1" s="3"/>
    </row>
    <row r="2" spans="2:11" x14ac:dyDescent="0.25">
      <c r="B2" s="5"/>
      <c r="K2" s="6"/>
    </row>
    <row r="3" spans="2:11" x14ac:dyDescent="0.25">
      <c r="B3" s="5"/>
      <c r="K3" s="6"/>
    </row>
    <row r="4" spans="2:11" x14ac:dyDescent="0.25">
      <c r="B4" s="5"/>
      <c r="K4" s="6"/>
    </row>
    <row r="5" spans="2:11" x14ac:dyDescent="0.25">
      <c r="B5" s="5"/>
      <c r="K5" s="6"/>
    </row>
    <row r="6" spans="2:11" x14ac:dyDescent="0.25">
      <c r="B6" s="5"/>
      <c r="K6" s="6"/>
    </row>
    <row r="7" spans="2:11" x14ac:dyDescent="0.25">
      <c r="B7" s="5"/>
      <c r="K7" s="6"/>
    </row>
    <row r="8" spans="2:11" ht="27" x14ac:dyDescent="0.35">
      <c r="B8" s="503" t="s">
        <v>0</v>
      </c>
      <c r="C8" s="504"/>
      <c r="D8" s="504"/>
      <c r="E8" s="504"/>
      <c r="F8" s="504"/>
      <c r="G8" s="504"/>
      <c r="H8" s="504"/>
      <c r="I8" s="504"/>
      <c r="J8" s="504"/>
      <c r="K8" s="505"/>
    </row>
    <row r="9" spans="2:11" ht="27" x14ac:dyDescent="0.35">
      <c r="B9" s="503" t="s">
        <v>1</v>
      </c>
      <c r="C9" s="504"/>
      <c r="D9" s="504"/>
      <c r="E9" s="504"/>
      <c r="F9" s="504"/>
      <c r="G9" s="504"/>
      <c r="H9" s="504"/>
      <c r="I9" s="504"/>
      <c r="J9" s="504"/>
      <c r="K9" s="505"/>
    </row>
    <row r="10" spans="2:11" ht="15.75" thickBot="1" x14ac:dyDescent="0.3">
      <c r="B10" s="7"/>
      <c r="C10" s="8"/>
      <c r="D10" s="8"/>
      <c r="E10" s="8"/>
      <c r="F10" s="8"/>
      <c r="G10" s="8"/>
      <c r="H10" s="8"/>
      <c r="I10" s="8"/>
      <c r="J10" s="8"/>
      <c r="K10" s="9"/>
    </row>
    <row r="11" spans="2:11" ht="30.75" customHeight="1" x14ac:dyDescent="0.25">
      <c r="B11" s="5"/>
      <c r="K11" s="6"/>
    </row>
    <row r="12" spans="2:11" s="10" customFormat="1" ht="29.25" customHeight="1" x14ac:dyDescent="0.25">
      <c r="B12" s="506" t="s">
        <v>2</v>
      </c>
      <c r="C12" s="507"/>
      <c r="D12" s="507"/>
      <c r="E12" s="507"/>
      <c r="F12" s="507"/>
      <c r="G12" s="507"/>
      <c r="H12" s="507"/>
      <c r="I12" s="507"/>
      <c r="J12" s="507"/>
      <c r="K12" s="508"/>
    </row>
    <row r="13" spans="2:11" s="10" customFormat="1" ht="29.25" customHeight="1" x14ac:dyDescent="0.25">
      <c r="B13" s="506" t="s">
        <v>3</v>
      </c>
      <c r="C13" s="507"/>
      <c r="D13" s="507"/>
      <c r="E13" s="507"/>
      <c r="F13" s="507"/>
      <c r="G13" s="507"/>
      <c r="H13" s="507"/>
      <c r="I13" s="507"/>
      <c r="J13" s="507"/>
      <c r="K13" s="508"/>
    </row>
    <row r="14" spans="2:11" ht="24" customHeight="1" thickBot="1" x14ac:dyDescent="0.3">
      <c r="B14" s="5"/>
      <c r="K14" s="6"/>
    </row>
    <row r="15" spans="2:11" ht="35.25" customHeight="1" thickBot="1" x14ac:dyDescent="0.3">
      <c r="B15" s="509" t="s">
        <v>836</v>
      </c>
      <c r="C15" s="510"/>
      <c r="D15" s="510"/>
      <c r="E15" s="510"/>
      <c r="F15" s="510"/>
      <c r="G15" s="510"/>
      <c r="H15" s="510"/>
      <c r="I15" s="510"/>
      <c r="J15" s="510"/>
      <c r="K15" s="511"/>
    </row>
    <row r="16" spans="2:11" x14ac:dyDescent="0.25">
      <c r="B16" s="5"/>
      <c r="K16" s="6"/>
    </row>
    <row r="17" spans="2:11" s="12" customFormat="1" ht="18.75" x14ac:dyDescent="0.3">
      <c r="B17" s="11" t="s">
        <v>4</v>
      </c>
      <c r="K17" s="13"/>
    </row>
    <row r="18" spans="2:11" s="12" customFormat="1" ht="18.75" x14ac:dyDescent="0.3">
      <c r="B18" s="14"/>
      <c r="K18" s="13"/>
    </row>
    <row r="19" spans="2:11" s="12" customFormat="1" ht="18.75" x14ac:dyDescent="0.3">
      <c r="B19" s="14"/>
      <c r="C19" s="12" t="s">
        <v>5</v>
      </c>
      <c r="F19" s="12" t="s">
        <v>6</v>
      </c>
      <c r="K19" s="13"/>
    </row>
    <row r="20" spans="2:11" s="12" customFormat="1" ht="18.75" x14ac:dyDescent="0.3">
      <c r="B20" s="14"/>
      <c r="K20" s="13"/>
    </row>
    <row r="21" spans="2:11" s="12" customFormat="1" ht="18.75" x14ac:dyDescent="0.3">
      <c r="B21" s="14"/>
      <c r="C21" s="12" t="s">
        <v>7</v>
      </c>
      <c r="F21" s="12" t="s">
        <v>8</v>
      </c>
      <c r="K21" s="13"/>
    </row>
    <row r="22" spans="2:11" s="12" customFormat="1" ht="18.75" x14ac:dyDescent="0.3">
      <c r="B22" s="14"/>
      <c r="K22" s="13"/>
    </row>
    <row r="23" spans="2:11" s="12" customFormat="1" ht="18.75" x14ac:dyDescent="0.3">
      <c r="B23" s="14"/>
      <c r="C23" s="12" t="s">
        <v>9</v>
      </c>
      <c r="F23" s="12" t="s">
        <v>10</v>
      </c>
      <c r="K23" s="13"/>
    </row>
    <row r="24" spans="2:11" s="12" customFormat="1" ht="18.75" x14ac:dyDescent="0.3">
      <c r="B24" s="14"/>
      <c r="K24" s="13"/>
    </row>
    <row r="25" spans="2:11" s="12" customFormat="1" ht="19.5" thickBot="1" x14ac:dyDescent="0.35">
      <c r="B25" s="14"/>
      <c r="K25" s="13"/>
    </row>
    <row r="26" spans="2:11" s="17" customFormat="1" ht="39" customHeight="1" thickBot="1" x14ac:dyDescent="0.3">
      <c r="B26" s="15"/>
      <c r="C26" s="500" t="s">
        <v>11</v>
      </c>
      <c r="D26" s="500"/>
      <c r="E26" s="16"/>
      <c r="F26" s="501" t="s">
        <v>12</v>
      </c>
      <c r="G26" s="500"/>
      <c r="H26" s="500"/>
      <c r="I26" s="500"/>
      <c r="J26" s="500"/>
      <c r="K26" s="502"/>
    </row>
    <row r="27" spans="2:11" s="21" customFormat="1" ht="60" customHeight="1" x14ac:dyDescent="0.25">
      <c r="B27" s="18"/>
      <c r="C27" s="19" t="s">
        <v>13</v>
      </c>
      <c r="D27" s="19"/>
      <c r="E27" s="20"/>
      <c r="F27" s="494" t="s">
        <v>14</v>
      </c>
      <c r="G27" s="495"/>
      <c r="H27" s="495"/>
      <c r="I27" s="495"/>
      <c r="J27" s="495"/>
      <c r="K27" s="496"/>
    </row>
    <row r="28" spans="2:11" s="21" customFormat="1" ht="60" customHeight="1" x14ac:dyDescent="0.25">
      <c r="B28" s="22"/>
      <c r="C28" s="23" t="s">
        <v>15</v>
      </c>
      <c r="D28" s="23"/>
      <c r="E28" s="24"/>
      <c r="F28" s="497" t="s">
        <v>16</v>
      </c>
      <c r="G28" s="498"/>
      <c r="H28" s="498"/>
      <c r="I28" s="498"/>
      <c r="J28" s="498"/>
      <c r="K28" s="499"/>
    </row>
    <row r="29" spans="2:11" s="21" customFormat="1" ht="60" customHeight="1" x14ac:dyDescent="0.25">
      <c r="B29" s="22"/>
      <c r="C29" s="23" t="s">
        <v>17</v>
      </c>
      <c r="D29" s="23"/>
      <c r="E29" s="24"/>
      <c r="F29" s="497" t="s">
        <v>18</v>
      </c>
      <c r="G29" s="498"/>
      <c r="H29" s="498"/>
      <c r="I29" s="498"/>
      <c r="J29" s="498"/>
      <c r="K29" s="499"/>
    </row>
    <row r="30" spans="2:11" s="21" customFormat="1" ht="60" customHeight="1" x14ac:dyDescent="0.25">
      <c r="B30" s="22"/>
      <c r="C30" s="23" t="s">
        <v>19</v>
      </c>
      <c r="D30" s="23"/>
      <c r="E30" s="24"/>
      <c r="F30" s="497" t="s">
        <v>20</v>
      </c>
      <c r="G30" s="498"/>
      <c r="H30" s="498"/>
      <c r="I30" s="498"/>
      <c r="J30" s="498"/>
      <c r="K30" s="499"/>
    </row>
    <row r="31" spans="2:11" s="21" customFormat="1" ht="60" customHeight="1" x14ac:dyDescent="0.25">
      <c r="B31" s="22"/>
      <c r="C31" s="23" t="s">
        <v>21</v>
      </c>
      <c r="D31" s="23"/>
      <c r="E31" s="24"/>
      <c r="F31" s="497" t="s">
        <v>22</v>
      </c>
      <c r="G31" s="498"/>
      <c r="H31" s="498"/>
      <c r="I31" s="498"/>
      <c r="J31" s="498"/>
      <c r="K31" s="499"/>
    </row>
    <row r="32" spans="2:11" s="12" customFormat="1" ht="18.75" x14ac:dyDescent="0.3">
      <c r="B32" s="14"/>
      <c r="F32" s="25"/>
      <c r="G32" s="25"/>
      <c r="H32" s="25"/>
      <c r="I32" s="25"/>
      <c r="J32" s="25"/>
      <c r="K32" s="26"/>
    </row>
    <row r="33" spans="2:11" s="12" customFormat="1" ht="18.75" x14ac:dyDescent="0.3">
      <c r="B33" s="14"/>
      <c r="F33" s="25"/>
      <c r="G33" s="25"/>
      <c r="H33" s="25"/>
      <c r="I33" s="25"/>
      <c r="J33" s="25"/>
      <c r="K33" s="26"/>
    </row>
    <row r="34" spans="2:11" s="12" customFormat="1" ht="19.5" thickBot="1" x14ac:dyDescent="0.35">
      <c r="B34" s="27"/>
      <c r="C34" s="28"/>
      <c r="D34" s="28"/>
      <c r="E34" s="28"/>
      <c r="F34" s="29"/>
      <c r="G34" s="29"/>
      <c r="H34" s="29"/>
      <c r="I34" s="29"/>
      <c r="J34" s="29"/>
      <c r="K34" s="30"/>
    </row>
  </sheetData>
  <mergeCells count="12">
    <mergeCell ref="C26:D26"/>
    <mergeCell ref="F26:K26"/>
    <mergeCell ref="B8:K8"/>
    <mergeCell ref="B9:K9"/>
    <mergeCell ref="B12:K12"/>
    <mergeCell ref="B13:K13"/>
    <mergeCell ref="B15:K15"/>
    <mergeCell ref="F27:K27"/>
    <mergeCell ref="F28:K28"/>
    <mergeCell ref="F29:K29"/>
    <mergeCell ref="F30:K30"/>
    <mergeCell ref="F31:K31"/>
  </mergeCells>
  <pageMargins left="0.95" right="0.25" top="0.75" bottom="0.25" header="0.3" footer="0.3"/>
  <pageSetup paperSize="124"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2A5CB-E13A-49EF-9797-C74B74DF09D9}">
  <sheetPr>
    <pageSetUpPr fitToPage="1"/>
  </sheetPr>
  <dimension ref="B1:K44"/>
  <sheetViews>
    <sheetView topLeftCell="A30" zoomScale="115" zoomScaleNormal="115" workbookViewId="0">
      <selection activeCell="F40" sqref="F40"/>
    </sheetView>
  </sheetViews>
  <sheetFormatPr defaultColWidth="9.140625" defaultRowHeight="15" x14ac:dyDescent="0.25"/>
  <cols>
    <col min="1" max="2" width="9.140625" style="4"/>
    <col min="3" max="3" width="5.85546875" style="4" customWidth="1"/>
    <col min="4" max="5" width="9.140625" style="4"/>
    <col min="6" max="6" width="11.7109375" style="4" customWidth="1"/>
    <col min="7" max="16384" width="9.140625" style="4"/>
  </cols>
  <sheetData>
    <row r="1" spans="2:11" x14ac:dyDescent="0.25">
      <c r="B1" s="1"/>
      <c r="C1" s="2"/>
      <c r="D1" s="2"/>
      <c r="E1" s="2"/>
      <c r="F1" s="2"/>
      <c r="G1" s="2"/>
      <c r="H1" s="2"/>
      <c r="I1" s="2"/>
      <c r="J1" s="2"/>
      <c r="K1" s="3"/>
    </row>
    <row r="2" spans="2:11" x14ac:dyDescent="0.25">
      <c r="B2" s="5"/>
      <c r="K2" s="6"/>
    </row>
    <row r="3" spans="2:11" x14ac:dyDescent="0.25">
      <c r="B3" s="5"/>
      <c r="K3" s="6"/>
    </row>
    <row r="4" spans="2:11" x14ac:dyDescent="0.25">
      <c r="B4" s="5"/>
      <c r="K4" s="6"/>
    </row>
    <row r="5" spans="2:11" x14ac:dyDescent="0.25">
      <c r="B5" s="5"/>
      <c r="K5" s="6"/>
    </row>
    <row r="6" spans="2:11" x14ac:dyDescent="0.25">
      <c r="B6" s="5"/>
      <c r="K6" s="6"/>
    </row>
    <row r="7" spans="2:11" x14ac:dyDescent="0.25">
      <c r="B7" s="5"/>
      <c r="K7" s="6"/>
    </row>
    <row r="8" spans="2:11" ht="27" x14ac:dyDescent="0.35">
      <c r="B8" s="503" t="s">
        <v>24</v>
      </c>
      <c r="C8" s="504"/>
      <c r="D8" s="504"/>
      <c r="E8" s="504"/>
      <c r="F8" s="504"/>
      <c r="G8" s="504"/>
      <c r="H8" s="504"/>
      <c r="I8" s="504"/>
      <c r="J8" s="504"/>
      <c r="K8" s="505"/>
    </row>
    <row r="9" spans="2:11" ht="15.75" thickBot="1" x14ac:dyDescent="0.3">
      <c r="B9" s="7"/>
      <c r="C9" s="8"/>
      <c r="D9" s="8"/>
      <c r="E9" s="8"/>
      <c r="F9" s="8"/>
      <c r="G9" s="8"/>
      <c r="H9" s="8"/>
      <c r="I9" s="8"/>
      <c r="J9" s="8"/>
      <c r="K9" s="9"/>
    </row>
    <row r="10" spans="2:11" x14ac:dyDescent="0.25">
      <c r="B10" s="5"/>
      <c r="K10" s="6"/>
    </row>
    <row r="11" spans="2:11" ht="22.5" x14ac:dyDescent="0.25">
      <c r="B11" s="506" t="s">
        <v>2</v>
      </c>
      <c r="C11" s="507"/>
      <c r="D11" s="507"/>
      <c r="E11" s="507"/>
      <c r="F11" s="507"/>
      <c r="G11" s="507"/>
      <c r="H11" s="507"/>
      <c r="I11" s="507"/>
      <c r="J11" s="507"/>
      <c r="K11" s="508"/>
    </row>
    <row r="12" spans="2:11" ht="22.5" x14ac:dyDescent="0.25">
      <c r="B12" s="506" t="s">
        <v>3</v>
      </c>
      <c r="C12" s="507"/>
      <c r="D12" s="507"/>
      <c r="E12" s="507"/>
      <c r="F12" s="507"/>
      <c r="G12" s="507"/>
      <c r="H12" s="507"/>
      <c r="I12" s="507"/>
      <c r="J12" s="507"/>
      <c r="K12" s="508"/>
    </row>
    <row r="13" spans="2:11" ht="15.75" thickBot="1" x14ac:dyDescent="0.3">
      <c r="B13" s="5"/>
      <c r="K13" s="6"/>
    </row>
    <row r="14" spans="2:11" ht="23.25" thickBot="1" x14ac:dyDescent="0.3">
      <c r="B14" s="509" t="s">
        <v>836</v>
      </c>
      <c r="C14" s="510"/>
      <c r="D14" s="510"/>
      <c r="E14" s="510"/>
      <c r="F14" s="510"/>
      <c r="G14" s="510"/>
      <c r="H14" s="510"/>
      <c r="I14" s="510"/>
      <c r="J14" s="510"/>
      <c r="K14" s="511"/>
    </row>
    <row r="15" spans="2:11" x14ac:dyDescent="0.25">
      <c r="B15" s="5"/>
      <c r="K15" s="6"/>
    </row>
    <row r="16" spans="2:11" ht="18.75" x14ac:dyDescent="0.3">
      <c r="B16" s="11"/>
      <c r="C16" s="12"/>
      <c r="D16" s="12"/>
      <c r="E16" s="12"/>
      <c r="F16" s="12"/>
      <c r="G16" s="12"/>
      <c r="H16" s="12" t="s">
        <v>837</v>
      </c>
      <c r="I16" s="12"/>
      <c r="J16" s="12"/>
      <c r="K16" s="13"/>
    </row>
    <row r="17" spans="2:11" ht="18.75" x14ac:dyDescent="0.3">
      <c r="B17" s="31"/>
      <c r="C17" s="12" t="s">
        <v>25</v>
      </c>
      <c r="D17" s="12"/>
      <c r="E17" s="12"/>
      <c r="F17" s="12"/>
      <c r="G17" s="12"/>
      <c r="H17" s="12" t="s">
        <v>26</v>
      </c>
      <c r="I17" s="12"/>
      <c r="J17" s="12"/>
      <c r="K17" s="13"/>
    </row>
    <row r="18" spans="2:11" ht="18.75" x14ac:dyDescent="0.3">
      <c r="B18" s="31"/>
      <c r="C18" s="12"/>
      <c r="D18" s="12"/>
      <c r="E18" s="12"/>
      <c r="F18" s="12"/>
      <c r="G18" s="12"/>
      <c r="H18" s="12"/>
      <c r="I18" s="12"/>
      <c r="J18" s="12"/>
      <c r="K18" s="13"/>
    </row>
    <row r="19" spans="2:11" ht="18.75" x14ac:dyDescent="0.3">
      <c r="B19" s="31"/>
      <c r="C19" s="12"/>
      <c r="D19" s="12"/>
      <c r="E19" s="12"/>
      <c r="F19" s="12"/>
      <c r="G19" s="12"/>
      <c r="H19" s="12"/>
      <c r="I19" s="12"/>
      <c r="J19" s="12"/>
      <c r="K19" s="13"/>
    </row>
    <row r="20" spans="2:11" ht="18.75" x14ac:dyDescent="0.3">
      <c r="B20" s="31"/>
      <c r="C20" s="12"/>
      <c r="D20" s="12"/>
      <c r="E20" s="12"/>
      <c r="F20" s="12"/>
      <c r="G20" s="12"/>
      <c r="H20" s="12"/>
      <c r="I20" s="12"/>
      <c r="J20" s="12"/>
      <c r="K20" s="13"/>
    </row>
    <row r="21" spans="2:11" ht="18.75" x14ac:dyDescent="0.3">
      <c r="B21" s="31"/>
      <c r="C21" s="12"/>
      <c r="D21" s="12"/>
      <c r="E21" s="12"/>
      <c r="F21" s="12"/>
      <c r="G21" s="12"/>
      <c r="H21" s="12"/>
      <c r="I21" s="12"/>
      <c r="J21" s="12"/>
      <c r="K21" s="13"/>
    </row>
    <row r="22" spans="2:11" ht="18.75" x14ac:dyDescent="0.3">
      <c r="B22" s="31"/>
      <c r="C22" s="12" t="s">
        <v>27</v>
      </c>
      <c r="D22" s="12"/>
      <c r="E22" s="12"/>
      <c r="F22" s="12"/>
      <c r="G22" s="12"/>
      <c r="H22" s="12" t="s">
        <v>28</v>
      </c>
      <c r="I22" s="12"/>
      <c r="J22" s="12"/>
      <c r="K22" s="13"/>
    </row>
    <row r="23" spans="2:11" ht="18.75" x14ac:dyDescent="0.3">
      <c r="B23" s="14"/>
      <c r="C23" s="12"/>
      <c r="D23" s="12"/>
      <c r="E23" s="12"/>
      <c r="F23" s="12"/>
      <c r="G23" s="12"/>
      <c r="H23" s="12" t="s">
        <v>29</v>
      </c>
      <c r="I23" s="12"/>
      <c r="J23" s="12"/>
      <c r="K23" s="13"/>
    </row>
    <row r="24" spans="2:11" ht="18.75" x14ac:dyDescent="0.3">
      <c r="B24" s="14"/>
      <c r="C24" s="12"/>
      <c r="D24" s="12"/>
      <c r="E24" s="12"/>
      <c r="F24" s="12"/>
      <c r="G24" s="12"/>
      <c r="H24" s="12"/>
      <c r="I24" s="12"/>
      <c r="J24" s="12"/>
      <c r="K24" s="13"/>
    </row>
    <row r="25" spans="2:11" ht="20.25" x14ac:dyDescent="0.25">
      <c r="B25" s="32"/>
      <c r="C25" s="527"/>
      <c r="D25" s="527"/>
      <c r="E25" s="17"/>
      <c r="F25" s="527"/>
      <c r="G25" s="527"/>
      <c r="H25" s="527"/>
      <c r="I25" s="527"/>
      <c r="J25" s="527"/>
      <c r="K25" s="528"/>
    </row>
    <row r="26" spans="2:11" ht="18.75" x14ac:dyDescent="0.25">
      <c r="B26" s="514" t="s">
        <v>30</v>
      </c>
      <c r="C26" s="515"/>
      <c r="D26" s="515"/>
      <c r="E26" s="515"/>
      <c r="F26" s="515"/>
      <c r="G26" s="515"/>
      <c r="H26" s="515"/>
      <c r="I26" s="515"/>
      <c r="J26" s="515"/>
      <c r="K26" s="516"/>
    </row>
    <row r="27" spans="2:11" ht="18.75" x14ac:dyDescent="0.25">
      <c r="B27" s="514" t="s">
        <v>31</v>
      </c>
      <c r="C27" s="515"/>
      <c r="D27" s="515"/>
      <c r="E27" s="515"/>
      <c r="F27" s="515"/>
      <c r="G27" s="515"/>
      <c r="H27" s="515"/>
      <c r="I27" s="515"/>
      <c r="J27" s="515"/>
      <c r="K27" s="516"/>
    </row>
    <row r="28" spans="2:11" ht="18.75" x14ac:dyDescent="0.25">
      <c r="B28" s="33"/>
      <c r="C28" s="34"/>
      <c r="D28" s="34"/>
      <c r="E28" s="21"/>
      <c r="F28" s="517"/>
      <c r="G28" s="517"/>
      <c r="H28" s="517"/>
      <c r="I28" s="517"/>
      <c r="J28" s="517"/>
      <c r="K28" s="518"/>
    </row>
    <row r="29" spans="2:11" ht="18.75" x14ac:dyDescent="0.25">
      <c r="B29" s="33"/>
      <c r="C29" s="34"/>
      <c r="D29" s="34"/>
      <c r="E29" s="21"/>
      <c r="F29" s="35"/>
      <c r="G29" s="35"/>
      <c r="H29" s="35"/>
      <c r="I29" s="35"/>
      <c r="J29" s="35"/>
      <c r="K29" s="36"/>
    </row>
    <row r="30" spans="2:11" ht="18.75" x14ac:dyDescent="0.25">
      <c r="B30" s="33"/>
      <c r="C30" s="34"/>
      <c r="D30" s="34"/>
      <c r="E30" s="21"/>
      <c r="F30" s="35"/>
      <c r="G30" s="35"/>
      <c r="H30" s="35"/>
      <c r="I30" s="35"/>
      <c r="J30" s="35"/>
      <c r="K30" s="36"/>
    </row>
    <row r="31" spans="2:11" ht="18.75" x14ac:dyDescent="0.25">
      <c r="B31" s="33"/>
      <c r="C31" s="34"/>
      <c r="D31" s="34"/>
      <c r="E31" s="21"/>
      <c r="F31" s="35"/>
      <c r="G31" s="35"/>
      <c r="H31" s="35"/>
      <c r="I31" s="35"/>
      <c r="J31" s="35"/>
      <c r="K31" s="36"/>
    </row>
    <row r="32" spans="2:11" ht="18.75" x14ac:dyDescent="0.3">
      <c r="B32" s="519" t="s">
        <v>32</v>
      </c>
      <c r="C32" s="520"/>
      <c r="D32" s="520"/>
      <c r="E32" s="520"/>
      <c r="F32" s="520"/>
      <c r="G32" s="520"/>
      <c r="H32" s="520"/>
      <c r="I32" s="520"/>
      <c r="J32" s="520"/>
      <c r="K32" s="521"/>
    </row>
    <row r="33" spans="2:11" ht="18.75" x14ac:dyDescent="0.3">
      <c r="B33" s="519" t="s">
        <v>33</v>
      </c>
      <c r="C33" s="520"/>
      <c r="D33" s="520"/>
      <c r="E33" s="520"/>
      <c r="F33" s="520"/>
      <c r="G33" s="520"/>
      <c r="H33" s="520"/>
      <c r="I33" s="520"/>
      <c r="J33" s="520"/>
      <c r="K33" s="521"/>
    </row>
    <row r="34" spans="2:11" ht="18.75" x14ac:dyDescent="0.25">
      <c r="B34" s="33"/>
      <c r="C34" s="34"/>
      <c r="D34" s="34"/>
      <c r="E34" s="21"/>
      <c r="F34" s="35"/>
      <c r="G34" s="35"/>
      <c r="H34" s="35"/>
      <c r="I34" s="35"/>
      <c r="J34" s="35"/>
      <c r="K34" s="36"/>
    </row>
    <row r="35" spans="2:11" ht="18.75" x14ac:dyDescent="0.25">
      <c r="B35" s="33"/>
      <c r="C35" s="34"/>
      <c r="D35" s="34"/>
      <c r="E35" s="21"/>
      <c r="F35" s="35"/>
      <c r="G35" s="35"/>
      <c r="H35" s="35"/>
      <c r="I35" s="35"/>
      <c r="J35" s="35"/>
      <c r="K35" s="36"/>
    </row>
    <row r="36" spans="2:11" ht="18.75" x14ac:dyDescent="0.25">
      <c r="B36" s="33"/>
      <c r="C36" s="34"/>
      <c r="D36" s="34"/>
      <c r="E36" s="21"/>
      <c r="F36" s="35"/>
      <c r="G36" s="35"/>
      <c r="H36" s="35"/>
      <c r="I36" s="35"/>
      <c r="J36" s="35"/>
      <c r="K36" s="36"/>
    </row>
    <row r="37" spans="2:11" ht="18.75" x14ac:dyDescent="0.25">
      <c r="B37" s="33"/>
      <c r="C37" s="34"/>
      <c r="D37" s="34"/>
      <c r="E37" s="21"/>
      <c r="F37" s="35"/>
      <c r="G37" s="35"/>
      <c r="H37" s="35"/>
      <c r="I37" s="35"/>
      <c r="J37" s="35"/>
      <c r="K37" s="36"/>
    </row>
    <row r="38" spans="2:11" ht="18.75" x14ac:dyDescent="0.25">
      <c r="B38" s="37"/>
      <c r="C38" s="38" t="s">
        <v>34</v>
      </c>
      <c r="D38" s="522" t="s">
        <v>35</v>
      </c>
      <c r="E38" s="523"/>
      <c r="F38" s="524"/>
      <c r="G38" s="525" t="s">
        <v>36</v>
      </c>
      <c r="H38" s="526"/>
      <c r="I38" s="39" t="s">
        <v>37</v>
      </c>
      <c r="J38" s="35"/>
      <c r="K38" s="36"/>
    </row>
    <row r="39" spans="2:11" ht="18.75" x14ac:dyDescent="0.25">
      <c r="B39" s="40"/>
      <c r="C39" s="41">
        <v>1</v>
      </c>
      <c r="D39" s="42" t="s">
        <v>832</v>
      </c>
      <c r="E39" s="42"/>
      <c r="F39" s="42"/>
      <c r="G39" s="512" t="s">
        <v>38</v>
      </c>
      <c r="H39" s="513"/>
      <c r="I39" s="43"/>
      <c r="J39" s="35"/>
      <c r="K39" s="36"/>
    </row>
    <row r="40" spans="2:11" ht="18.75" x14ac:dyDescent="0.25">
      <c r="B40" s="40"/>
      <c r="C40" s="41">
        <v>2</v>
      </c>
      <c r="D40" s="42"/>
      <c r="E40" s="42"/>
      <c r="F40" s="42"/>
      <c r="G40" s="512" t="s">
        <v>39</v>
      </c>
      <c r="H40" s="513"/>
      <c r="I40" s="44"/>
      <c r="J40" s="45"/>
      <c r="K40" s="46"/>
    </row>
    <row r="41" spans="2:11" ht="18.75" x14ac:dyDescent="0.25">
      <c r="B41" s="40"/>
      <c r="C41" s="41">
        <v>3</v>
      </c>
      <c r="D41" s="42" t="s">
        <v>40</v>
      </c>
      <c r="E41" s="42"/>
      <c r="F41" s="42"/>
      <c r="G41" s="512" t="s">
        <v>41</v>
      </c>
      <c r="H41" s="513"/>
      <c r="I41" s="44"/>
      <c r="J41" s="45"/>
      <c r="K41" s="46"/>
    </row>
    <row r="42" spans="2:11" ht="18.75" x14ac:dyDescent="0.3">
      <c r="B42" s="14"/>
      <c r="C42" s="12"/>
      <c r="D42" s="12"/>
      <c r="E42" s="12"/>
      <c r="F42" s="25"/>
      <c r="G42" s="25"/>
      <c r="H42" s="25"/>
      <c r="I42" s="25"/>
      <c r="J42" s="25"/>
      <c r="K42" s="26"/>
    </row>
    <row r="43" spans="2:11" ht="18.75" x14ac:dyDescent="0.3">
      <c r="B43" s="14"/>
      <c r="C43" s="12"/>
      <c r="D43" s="12"/>
      <c r="E43" s="12"/>
      <c r="F43" s="25"/>
      <c r="G43" s="25"/>
      <c r="H43" s="25"/>
      <c r="I43" s="25"/>
      <c r="J43" s="25"/>
      <c r="K43" s="26"/>
    </row>
    <row r="44" spans="2:11" ht="19.5" thickBot="1" x14ac:dyDescent="0.35">
      <c r="B44" s="27"/>
      <c r="C44" s="28"/>
      <c r="D44" s="28"/>
      <c r="E44" s="28"/>
      <c r="F44" s="29"/>
      <c r="G44" s="29"/>
      <c r="H44" s="29"/>
      <c r="I44" s="29"/>
      <c r="J44" s="29"/>
      <c r="K44" s="30"/>
    </row>
  </sheetData>
  <mergeCells count="16">
    <mergeCell ref="B8:K8"/>
    <mergeCell ref="B11:K11"/>
    <mergeCell ref="B12:K12"/>
    <mergeCell ref="B14:K14"/>
    <mergeCell ref="C25:D25"/>
    <mergeCell ref="F25:K25"/>
    <mergeCell ref="G39:H39"/>
    <mergeCell ref="G40:H40"/>
    <mergeCell ref="G41:H41"/>
    <mergeCell ref="B26:K26"/>
    <mergeCell ref="B27:K27"/>
    <mergeCell ref="F28:K28"/>
    <mergeCell ref="B32:K32"/>
    <mergeCell ref="B33:K33"/>
    <mergeCell ref="D38:F38"/>
    <mergeCell ref="G38:H38"/>
  </mergeCells>
  <pageMargins left="0.95" right="0.2" top="0.75" bottom="0.75" header="0.3" footer="0.3"/>
  <pageSetup paperSize="124" scale="93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D678B-C7A9-49F9-9EF5-E8A0CC046B6F}">
  <sheetPr>
    <pageSetUpPr fitToPage="1"/>
  </sheetPr>
  <dimension ref="B1:K46"/>
  <sheetViews>
    <sheetView showGridLines="0" topLeftCell="A19" workbookViewId="0">
      <selection activeCell="K27" sqref="K27"/>
    </sheetView>
  </sheetViews>
  <sheetFormatPr defaultColWidth="9.140625" defaultRowHeight="15" x14ac:dyDescent="0.25"/>
  <cols>
    <col min="1" max="1" width="2.42578125" style="4" customWidth="1"/>
    <col min="2" max="4" width="3.7109375" style="4" customWidth="1"/>
    <col min="5" max="8" width="9.140625" style="4"/>
    <col min="9" max="9" width="10.5703125" style="4" customWidth="1"/>
    <col min="10" max="10" width="13.140625" style="4" customWidth="1"/>
    <col min="11" max="11" width="18.28515625" style="4" customWidth="1"/>
    <col min="12" max="16384" width="9.140625" style="4"/>
  </cols>
  <sheetData>
    <row r="1" spans="2:11" ht="15" customHeight="1" x14ac:dyDescent="0.25">
      <c r="B1" s="47"/>
      <c r="C1" s="48"/>
      <c r="D1" s="48"/>
      <c r="E1" s="48"/>
      <c r="F1" s="48"/>
      <c r="G1" s="48"/>
      <c r="H1" s="48"/>
      <c r="I1" s="48"/>
      <c r="J1" s="49"/>
      <c r="K1" s="531" t="s">
        <v>42</v>
      </c>
    </row>
    <row r="2" spans="2:11" ht="15" customHeight="1" x14ac:dyDescent="0.25">
      <c r="B2" s="50"/>
      <c r="J2" s="51"/>
      <c r="K2" s="532"/>
    </row>
    <row r="3" spans="2:11" ht="15" customHeight="1" x14ac:dyDescent="0.25">
      <c r="B3" s="50"/>
      <c r="J3" s="51"/>
      <c r="K3" s="532"/>
    </row>
    <row r="4" spans="2:11" ht="15" customHeight="1" x14ac:dyDescent="0.25">
      <c r="B4" s="50"/>
      <c r="J4" s="51"/>
      <c r="K4" s="532"/>
    </row>
    <row r="5" spans="2:11" ht="15" customHeight="1" x14ac:dyDescent="0.25">
      <c r="B5" s="50"/>
      <c r="J5" s="51"/>
      <c r="K5" s="532"/>
    </row>
    <row r="6" spans="2:11" ht="15" customHeight="1" x14ac:dyDescent="0.25">
      <c r="B6" s="50"/>
      <c r="J6" s="51"/>
      <c r="K6" s="532"/>
    </row>
    <row r="7" spans="2:11" ht="15" customHeight="1" x14ac:dyDescent="0.25">
      <c r="B7" s="52"/>
      <c r="C7" s="53"/>
      <c r="D7" s="53"/>
      <c r="E7" s="53"/>
      <c r="F7" s="53"/>
      <c r="G7" s="53"/>
      <c r="H7" s="53"/>
      <c r="I7" s="53"/>
      <c r="J7" s="54"/>
      <c r="K7" s="533"/>
    </row>
    <row r="8" spans="2:11" s="56" customFormat="1" ht="15.75" x14ac:dyDescent="0.25">
      <c r="B8" s="55"/>
      <c r="K8" s="57"/>
    </row>
    <row r="9" spans="2:11" s="56" customFormat="1" ht="15.75" x14ac:dyDescent="0.25">
      <c r="B9" s="58" t="s">
        <v>43</v>
      </c>
      <c r="G9" s="56" t="s">
        <v>44</v>
      </c>
      <c r="K9" s="57"/>
    </row>
    <row r="10" spans="2:11" s="56" customFormat="1" ht="15.75" x14ac:dyDescent="0.25">
      <c r="B10" s="58"/>
      <c r="K10" s="57"/>
    </row>
    <row r="11" spans="2:11" s="56" customFormat="1" ht="15.75" x14ac:dyDescent="0.25">
      <c r="B11" s="58" t="s">
        <v>45</v>
      </c>
      <c r="G11" s="56" t="s">
        <v>46</v>
      </c>
      <c r="K11" s="57"/>
    </row>
    <row r="12" spans="2:11" s="56" customFormat="1" ht="22.5" customHeight="1" x14ac:dyDescent="0.25">
      <c r="B12" s="55"/>
      <c r="K12" s="57"/>
    </row>
    <row r="13" spans="2:11" s="56" customFormat="1" ht="10.5" customHeight="1" x14ac:dyDescent="0.25">
      <c r="B13" s="59"/>
      <c r="C13" s="60"/>
      <c r="D13" s="60"/>
      <c r="E13" s="60"/>
      <c r="F13" s="60"/>
      <c r="G13" s="60"/>
      <c r="H13" s="60"/>
      <c r="I13" s="60"/>
      <c r="J13" s="60"/>
      <c r="K13" s="61"/>
    </row>
    <row r="14" spans="2:11" s="62" customFormat="1" ht="32.25" customHeight="1" x14ac:dyDescent="0.25">
      <c r="B14" s="534" t="s">
        <v>14</v>
      </c>
      <c r="C14" s="507"/>
      <c r="D14" s="507"/>
      <c r="E14" s="507"/>
      <c r="F14" s="507"/>
      <c r="G14" s="507"/>
      <c r="H14" s="507"/>
      <c r="I14" s="507"/>
      <c r="J14" s="507"/>
      <c r="K14" s="535"/>
    </row>
    <row r="15" spans="2:11" s="62" customFormat="1" ht="32.25" customHeight="1" x14ac:dyDescent="0.25">
      <c r="B15" s="534" t="s">
        <v>838</v>
      </c>
      <c r="C15" s="507"/>
      <c r="D15" s="507"/>
      <c r="E15" s="507"/>
      <c r="F15" s="507"/>
      <c r="G15" s="507"/>
      <c r="H15" s="507"/>
      <c r="I15" s="507"/>
      <c r="J15" s="507"/>
      <c r="K15" s="535"/>
    </row>
    <row r="16" spans="2:11" s="56" customFormat="1" ht="7.5" customHeight="1" x14ac:dyDescent="0.25">
      <c r="B16" s="63"/>
      <c r="C16" s="64"/>
      <c r="D16" s="64"/>
      <c r="E16" s="64"/>
      <c r="F16" s="64"/>
      <c r="G16" s="64"/>
      <c r="H16" s="64"/>
      <c r="I16" s="64"/>
      <c r="J16" s="64"/>
      <c r="K16" s="65"/>
    </row>
    <row r="17" spans="2:11" s="62" customFormat="1" ht="42" customHeight="1" x14ac:dyDescent="0.25">
      <c r="B17" s="536" t="s">
        <v>47</v>
      </c>
      <c r="C17" s="536"/>
      <c r="D17" s="536"/>
      <c r="E17" s="536" t="s">
        <v>48</v>
      </c>
      <c r="F17" s="536"/>
      <c r="G17" s="536"/>
      <c r="H17" s="536"/>
      <c r="I17" s="536"/>
      <c r="J17" s="536"/>
      <c r="K17" s="66" t="s">
        <v>49</v>
      </c>
    </row>
    <row r="18" spans="2:11" s="56" customFormat="1" ht="15.75" x14ac:dyDescent="0.25">
      <c r="B18" s="537">
        <v>1</v>
      </c>
      <c r="C18" s="537"/>
      <c r="D18" s="537"/>
      <c r="E18" s="537">
        <v>2</v>
      </c>
      <c r="F18" s="537"/>
      <c r="G18" s="537"/>
      <c r="H18" s="537"/>
      <c r="I18" s="537"/>
      <c r="J18" s="537"/>
      <c r="K18" s="67">
        <v>3</v>
      </c>
    </row>
    <row r="19" spans="2:11" s="75" customFormat="1" ht="15.75" x14ac:dyDescent="0.25">
      <c r="B19" s="68" t="s">
        <v>50</v>
      </c>
      <c r="C19" s="69"/>
      <c r="D19" s="70"/>
      <c r="E19" s="71" t="s">
        <v>51</v>
      </c>
      <c r="F19" s="72"/>
      <c r="G19" s="72"/>
      <c r="H19" s="72"/>
      <c r="I19" s="72"/>
      <c r="J19" s="73"/>
      <c r="K19" s="74">
        <f>SUM(K20:K25)</f>
        <v>944848847</v>
      </c>
    </row>
    <row r="20" spans="2:11" s="56" customFormat="1" ht="15.75" x14ac:dyDescent="0.25">
      <c r="B20" s="76" t="s">
        <v>50</v>
      </c>
      <c r="C20" s="77" t="s">
        <v>50</v>
      </c>
      <c r="D20" s="78"/>
      <c r="E20" s="79" t="s">
        <v>52</v>
      </c>
      <c r="F20" s="80"/>
      <c r="G20" s="80"/>
      <c r="H20" s="80"/>
      <c r="I20" s="80"/>
      <c r="J20" s="81"/>
      <c r="K20" s="82">
        <f>'DPA SP 1'!L23</f>
        <v>81000000</v>
      </c>
    </row>
    <row r="21" spans="2:11" s="56" customFormat="1" ht="15.75" x14ac:dyDescent="0.25">
      <c r="B21" s="76" t="s">
        <v>50</v>
      </c>
      <c r="C21" s="77" t="s">
        <v>53</v>
      </c>
      <c r="D21" s="78"/>
      <c r="E21" s="79" t="s">
        <v>54</v>
      </c>
      <c r="F21" s="80"/>
      <c r="G21" s="80"/>
      <c r="H21" s="80"/>
      <c r="I21" s="80"/>
      <c r="J21" s="81"/>
      <c r="K21" s="82">
        <f>'DPA SP 1'!L26</f>
        <v>0</v>
      </c>
    </row>
    <row r="22" spans="2:11" s="56" customFormat="1" ht="15.75" x14ac:dyDescent="0.25">
      <c r="B22" s="76" t="s">
        <v>50</v>
      </c>
      <c r="C22" s="77" t="s">
        <v>55</v>
      </c>
      <c r="D22" s="78"/>
      <c r="E22" s="79" t="s">
        <v>56</v>
      </c>
      <c r="F22" s="80"/>
      <c r="G22" s="80"/>
      <c r="H22" s="80"/>
      <c r="I22" s="80"/>
      <c r="J22" s="81"/>
      <c r="K22" s="82">
        <f>'DPA SP 1'!L28</f>
        <v>863627117</v>
      </c>
    </row>
    <row r="23" spans="2:11" s="56" customFormat="1" ht="15.75" x14ac:dyDescent="0.25">
      <c r="B23" s="76" t="s">
        <v>50</v>
      </c>
      <c r="C23" s="77" t="s">
        <v>57</v>
      </c>
      <c r="D23" s="78"/>
      <c r="E23" s="79" t="s">
        <v>58</v>
      </c>
      <c r="F23" s="80"/>
      <c r="G23" s="80"/>
      <c r="H23" s="80"/>
      <c r="I23" s="80"/>
      <c r="J23" s="81"/>
      <c r="K23" s="82">
        <f>'DPA SP 1'!L32</f>
        <v>0</v>
      </c>
    </row>
    <row r="24" spans="2:11" s="56" customFormat="1" ht="15.75" x14ac:dyDescent="0.25">
      <c r="B24" s="76" t="s">
        <v>50</v>
      </c>
      <c r="C24" s="77" t="s">
        <v>59</v>
      </c>
      <c r="D24" s="78"/>
      <c r="E24" s="79" t="s">
        <v>60</v>
      </c>
      <c r="F24" s="80"/>
      <c r="G24" s="80"/>
      <c r="H24" s="80"/>
      <c r="I24" s="80"/>
      <c r="J24" s="81"/>
      <c r="K24" s="82">
        <f>'DPA SP 1'!L35</f>
        <v>0</v>
      </c>
    </row>
    <row r="25" spans="2:11" s="56" customFormat="1" ht="15.75" x14ac:dyDescent="0.25">
      <c r="B25" s="76" t="s">
        <v>50</v>
      </c>
      <c r="C25" s="77" t="s">
        <v>61</v>
      </c>
      <c r="D25" s="78"/>
      <c r="E25" s="79" t="s">
        <v>62</v>
      </c>
      <c r="F25" s="80"/>
      <c r="G25" s="80"/>
      <c r="H25" s="80"/>
      <c r="I25" s="80"/>
      <c r="J25" s="81"/>
      <c r="K25" s="82">
        <f>'DPA SP 1'!L38</f>
        <v>221730</v>
      </c>
    </row>
    <row r="26" spans="2:11" s="56" customFormat="1" ht="15.75" x14ac:dyDescent="0.25">
      <c r="B26" s="83"/>
      <c r="C26" s="84"/>
      <c r="D26" s="85"/>
      <c r="E26" s="86"/>
      <c r="F26" s="80"/>
      <c r="G26" s="80"/>
      <c r="H26" s="80"/>
      <c r="I26" s="80"/>
      <c r="J26" s="81"/>
      <c r="K26" s="82"/>
    </row>
    <row r="27" spans="2:11" s="75" customFormat="1" ht="15.75" x14ac:dyDescent="0.25">
      <c r="B27" s="87" t="s">
        <v>59</v>
      </c>
      <c r="C27" s="88"/>
      <c r="D27" s="89"/>
      <c r="E27" s="90" t="s">
        <v>63</v>
      </c>
      <c r="F27" s="91"/>
      <c r="G27" s="91"/>
      <c r="H27" s="91"/>
      <c r="I27" s="91"/>
      <c r="J27" s="92"/>
      <c r="K27" s="93" t="e">
        <f>K28+K31</f>
        <v>#REF!</v>
      </c>
    </row>
    <row r="28" spans="2:11" s="75" customFormat="1" ht="15.75" x14ac:dyDescent="0.25">
      <c r="B28" s="87" t="s">
        <v>59</v>
      </c>
      <c r="C28" s="94" t="s">
        <v>50</v>
      </c>
      <c r="D28" s="95"/>
      <c r="E28" s="96" t="s">
        <v>64</v>
      </c>
      <c r="F28" s="91"/>
      <c r="G28" s="91"/>
      <c r="H28" s="91"/>
      <c r="I28" s="91"/>
      <c r="J28" s="92"/>
      <c r="K28" s="93" t="e">
        <f>SUM(K29:K30)</f>
        <v>#REF!</v>
      </c>
    </row>
    <row r="29" spans="2:11" s="56" customFormat="1" ht="15.75" x14ac:dyDescent="0.25">
      <c r="B29" s="97" t="s">
        <v>59</v>
      </c>
      <c r="C29" s="77" t="s">
        <v>50</v>
      </c>
      <c r="D29" s="78" t="s">
        <v>65</v>
      </c>
      <c r="E29" s="79" t="s">
        <v>66</v>
      </c>
      <c r="F29" s="80"/>
      <c r="G29" s="80"/>
      <c r="H29" s="80"/>
      <c r="I29" s="80"/>
      <c r="J29" s="81"/>
      <c r="K29" s="82">
        <f>'DPA SP 5 1'!N76</f>
        <v>4200000</v>
      </c>
    </row>
    <row r="30" spans="2:11" s="56" customFormat="1" ht="15.75" x14ac:dyDescent="0.25">
      <c r="B30" s="97" t="s">
        <v>59</v>
      </c>
      <c r="C30" s="77" t="s">
        <v>50</v>
      </c>
      <c r="D30" s="78" t="s">
        <v>67</v>
      </c>
      <c r="E30" s="79" t="s">
        <v>68</v>
      </c>
      <c r="F30" s="80"/>
      <c r="G30" s="80"/>
      <c r="H30" s="80"/>
      <c r="I30" s="80"/>
      <c r="J30" s="81"/>
      <c r="K30" s="82" t="e">
        <f>'DPA SP 5 1'!N82+'DPA SP 5 1'!N77+'DPA SP 5 1'!N73+'DPA SP 5 1'!N70+'DPA SP 5 1'!N65+'DPA SP 5 1'!#REF!+'DPA SP 5 1'!N57+'DPA SP 5 1'!N54+'DPA SP 5 1'!N46+'DPA SP 5 1'!N41+'DPA SP 5 1'!N38+'DPA SP 5 1'!N35</f>
        <v>#REF!</v>
      </c>
    </row>
    <row r="31" spans="2:11" s="75" customFormat="1" ht="15.75" x14ac:dyDescent="0.25">
      <c r="B31" s="98" t="s">
        <v>59</v>
      </c>
      <c r="C31" s="94" t="s">
        <v>53</v>
      </c>
      <c r="D31" s="95"/>
      <c r="E31" s="96" t="s">
        <v>69</v>
      </c>
      <c r="F31" s="91"/>
      <c r="G31" s="91"/>
      <c r="H31" s="91"/>
      <c r="I31" s="91"/>
      <c r="J31" s="92"/>
      <c r="K31" s="93" t="e">
        <f>SUM(K32:K33)</f>
        <v>#REF!</v>
      </c>
    </row>
    <row r="32" spans="2:11" s="56" customFormat="1" ht="15.75" x14ac:dyDescent="0.25">
      <c r="B32" s="76" t="s">
        <v>59</v>
      </c>
      <c r="C32" s="77" t="s">
        <v>53</v>
      </c>
      <c r="D32" s="78" t="s">
        <v>67</v>
      </c>
      <c r="E32" s="79" t="s">
        <v>70</v>
      </c>
      <c r="F32" s="80"/>
      <c r="G32" s="80"/>
      <c r="H32" s="80"/>
      <c r="I32" s="80"/>
      <c r="J32" s="81"/>
      <c r="K32" s="82" t="e">
        <f>'DPA SP 5 1'!#REF!+'DPA SP 5 1'!N60</f>
        <v>#REF!</v>
      </c>
    </row>
    <row r="33" spans="2:11" s="56" customFormat="1" ht="15.75" x14ac:dyDescent="0.25">
      <c r="B33" s="76" t="s">
        <v>59</v>
      </c>
      <c r="C33" s="77" t="s">
        <v>53</v>
      </c>
      <c r="D33" s="78" t="s">
        <v>71</v>
      </c>
      <c r="E33" s="79" t="s">
        <v>72</v>
      </c>
      <c r="F33" s="80"/>
      <c r="G33" s="80"/>
      <c r="H33" s="80"/>
      <c r="I33" s="80"/>
      <c r="J33" s="81"/>
      <c r="K33" s="82">
        <f>'DPA SP 5 1'!N51</f>
        <v>15750000</v>
      </c>
    </row>
    <row r="34" spans="2:11" s="56" customFormat="1" ht="15.75" x14ac:dyDescent="0.25">
      <c r="B34" s="76"/>
      <c r="C34" s="77"/>
      <c r="D34" s="78"/>
      <c r="E34" s="79"/>
      <c r="F34" s="80"/>
      <c r="G34" s="80"/>
      <c r="H34" s="80"/>
      <c r="I34" s="80"/>
      <c r="J34" s="81"/>
      <c r="K34" s="82"/>
    </row>
    <row r="35" spans="2:11" s="56" customFormat="1" ht="15.75" x14ac:dyDescent="0.25">
      <c r="B35" s="99"/>
      <c r="C35" s="100"/>
      <c r="D35" s="101"/>
      <c r="E35" s="102"/>
      <c r="F35" s="103"/>
      <c r="G35" s="103"/>
      <c r="H35" s="103"/>
      <c r="I35" s="103"/>
      <c r="J35" s="104"/>
      <c r="K35" s="105"/>
    </row>
    <row r="36" spans="2:11" s="75" customFormat="1" ht="15.75" x14ac:dyDescent="0.25">
      <c r="B36" s="106"/>
      <c r="C36" s="107"/>
      <c r="D36" s="108"/>
      <c r="E36" s="529" t="s">
        <v>73</v>
      </c>
      <c r="F36" s="529"/>
      <c r="G36" s="529"/>
      <c r="H36" s="529"/>
      <c r="I36" s="529"/>
      <c r="J36" s="530"/>
      <c r="K36" s="109" t="e">
        <f>K19-K27</f>
        <v>#REF!</v>
      </c>
    </row>
    <row r="37" spans="2:11" s="56" customFormat="1" ht="15.75" x14ac:dyDescent="0.25">
      <c r="B37" s="110"/>
      <c r="C37" s="111"/>
      <c r="D37" s="111"/>
      <c r="E37" s="112"/>
      <c r="K37" s="57"/>
    </row>
    <row r="38" spans="2:11" s="56" customFormat="1" ht="15.75" x14ac:dyDescent="0.25">
      <c r="B38" s="110"/>
      <c r="C38" s="111"/>
      <c r="D38" s="111"/>
      <c r="E38" s="112"/>
      <c r="K38" s="57"/>
    </row>
    <row r="39" spans="2:11" s="56" customFormat="1" ht="15.75" x14ac:dyDescent="0.25">
      <c r="B39" s="110"/>
      <c r="D39" s="113" t="s">
        <v>74</v>
      </c>
      <c r="E39" s="112"/>
      <c r="K39" s="57"/>
    </row>
    <row r="40" spans="2:11" s="56" customFormat="1" ht="15.75" x14ac:dyDescent="0.25">
      <c r="B40" s="110"/>
      <c r="D40" s="113" t="s">
        <v>75</v>
      </c>
      <c r="E40" s="112"/>
      <c r="J40" s="113" t="s">
        <v>26</v>
      </c>
      <c r="K40" s="57"/>
    </row>
    <row r="41" spans="2:11" s="56" customFormat="1" ht="15.75" x14ac:dyDescent="0.25">
      <c r="B41" s="110"/>
      <c r="C41" s="114"/>
      <c r="D41" s="111"/>
      <c r="E41" s="112"/>
      <c r="J41" s="114"/>
      <c r="K41" s="57"/>
    </row>
    <row r="42" spans="2:11" s="56" customFormat="1" ht="15.75" x14ac:dyDescent="0.25">
      <c r="B42" s="110"/>
      <c r="C42" s="114"/>
      <c r="D42" s="111"/>
      <c r="E42" s="112"/>
      <c r="J42" s="114"/>
      <c r="K42" s="57"/>
    </row>
    <row r="43" spans="2:11" s="56" customFormat="1" ht="15.75" x14ac:dyDescent="0.25">
      <c r="B43" s="110"/>
      <c r="C43" s="113"/>
      <c r="D43" s="111"/>
      <c r="E43" s="112"/>
      <c r="J43" s="113"/>
      <c r="K43" s="57"/>
    </row>
    <row r="44" spans="2:11" s="56" customFormat="1" ht="15.75" x14ac:dyDescent="0.25">
      <c r="B44" s="110"/>
      <c r="D44" s="113" t="s">
        <v>27</v>
      </c>
      <c r="E44" s="112"/>
      <c r="J44" s="113" t="s">
        <v>28</v>
      </c>
      <c r="K44" s="57"/>
    </row>
    <row r="45" spans="2:11" s="56" customFormat="1" ht="15.75" x14ac:dyDescent="0.25">
      <c r="B45" s="110"/>
      <c r="C45" s="111"/>
      <c r="D45" s="111"/>
      <c r="E45" s="112"/>
      <c r="J45" s="56" t="s">
        <v>76</v>
      </c>
      <c r="K45" s="57"/>
    </row>
    <row r="46" spans="2:11" s="56" customFormat="1" ht="15.75" x14ac:dyDescent="0.25">
      <c r="B46" s="63"/>
      <c r="C46" s="64"/>
      <c r="D46" s="64"/>
      <c r="E46" s="64"/>
      <c r="F46" s="64"/>
      <c r="G46" s="64"/>
      <c r="H46" s="64"/>
      <c r="I46" s="64"/>
      <c r="J46" s="64"/>
      <c r="K46" s="65"/>
    </row>
  </sheetData>
  <mergeCells count="8">
    <mergeCell ref="E36:J36"/>
    <mergeCell ref="K1:K7"/>
    <mergeCell ref="B14:K14"/>
    <mergeCell ref="B15:K15"/>
    <mergeCell ref="B17:D17"/>
    <mergeCell ref="E17:J17"/>
    <mergeCell ref="B18:D18"/>
    <mergeCell ref="E18:J18"/>
  </mergeCells>
  <pageMargins left="0.95866141699999996" right="6.4960630000000005E-2" top="0.74803149606299202" bottom="1.14173228346457" header="0.31496062992126" footer="0.31496062992126"/>
  <pageSetup paperSize="124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C82FA-9312-430C-961C-130240D236DA}">
  <sheetPr>
    <pageSetUpPr fitToPage="1"/>
  </sheetPr>
  <dimension ref="B1:T51"/>
  <sheetViews>
    <sheetView showGridLines="0" topLeftCell="A14" workbookViewId="0">
      <selection activeCell="K41" sqref="K41"/>
    </sheetView>
  </sheetViews>
  <sheetFormatPr defaultColWidth="9.140625" defaultRowHeight="15" x14ac:dyDescent="0.25"/>
  <cols>
    <col min="1" max="1" width="2.42578125" style="4" customWidth="1"/>
    <col min="2" max="4" width="2.28515625" style="4" customWidth="1"/>
    <col min="5" max="5" width="2.7109375" style="4" customWidth="1"/>
    <col min="6" max="6" width="9.140625" style="4"/>
    <col min="7" max="7" width="23.85546875" style="4" customWidth="1"/>
    <col min="8" max="8" width="8" style="4" customWidth="1"/>
    <col min="9" max="9" width="8.28515625" style="4" customWidth="1"/>
    <col min="10" max="10" width="8.140625" style="4" customWidth="1"/>
    <col min="11" max="11" width="11.7109375" style="4" customWidth="1"/>
    <col min="12" max="12" width="16.140625" style="4" customWidth="1"/>
    <col min="13" max="15" width="9.140625" style="4"/>
    <col min="16" max="17" width="14" style="4" bestFit="1" customWidth="1"/>
    <col min="18" max="18" width="10.140625" style="4" bestFit="1" customWidth="1"/>
    <col min="19" max="19" width="9.140625" style="4"/>
    <col min="20" max="20" width="23.42578125" style="4" customWidth="1"/>
    <col min="21" max="16384" width="9.140625" style="4"/>
  </cols>
  <sheetData>
    <row r="1" spans="2:12" ht="15" customHeight="1" x14ac:dyDescent="0.25">
      <c r="B1" s="47"/>
      <c r="C1" s="48"/>
      <c r="D1" s="48"/>
      <c r="E1" s="48"/>
      <c r="F1" s="48"/>
      <c r="G1" s="48"/>
      <c r="H1" s="48"/>
      <c r="I1" s="48"/>
      <c r="J1" s="48"/>
      <c r="K1" s="49"/>
      <c r="L1" s="544" t="s">
        <v>77</v>
      </c>
    </row>
    <row r="2" spans="2:12" ht="15" customHeight="1" x14ac:dyDescent="0.25">
      <c r="B2" s="50"/>
      <c r="K2" s="51"/>
      <c r="L2" s="545"/>
    </row>
    <row r="3" spans="2:12" ht="15" customHeight="1" x14ac:dyDescent="0.25">
      <c r="B3" s="50"/>
      <c r="K3" s="51"/>
      <c r="L3" s="545"/>
    </row>
    <row r="4" spans="2:12" ht="15" customHeight="1" x14ac:dyDescent="0.25">
      <c r="B4" s="50"/>
      <c r="K4" s="51"/>
      <c r="L4" s="545"/>
    </row>
    <row r="5" spans="2:12" ht="15" customHeight="1" x14ac:dyDescent="0.25">
      <c r="B5" s="50"/>
      <c r="K5" s="51"/>
      <c r="L5" s="545"/>
    </row>
    <row r="6" spans="2:12" ht="15" customHeight="1" x14ac:dyDescent="0.25">
      <c r="B6" s="50"/>
      <c r="K6" s="51"/>
      <c r="L6" s="545"/>
    </row>
    <row r="7" spans="2:12" ht="9.75" customHeight="1" x14ac:dyDescent="0.25">
      <c r="B7" s="50"/>
      <c r="K7" s="115"/>
      <c r="L7" s="116"/>
    </row>
    <row r="8" spans="2:12" s="117" customFormat="1" ht="18.75" customHeight="1" x14ac:dyDescent="0.25">
      <c r="B8" s="546" t="s">
        <v>78</v>
      </c>
      <c r="C8" s="547"/>
      <c r="D8" s="547"/>
      <c r="E8" s="547"/>
      <c r="F8" s="547"/>
      <c r="G8" s="547"/>
      <c r="H8" s="547"/>
      <c r="I8" s="547"/>
      <c r="J8" s="547"/>
      <c r="K8" s="547"/>
      <c r="L8" s="548"/>
    </row>
    <row r="9" spans="2:12" s="117" customFormat="1" ht="18.75" customHeight="1" x14ac:dyDescent="0.25">
      <c r="B9" s="549" t="s">
        <v>1</v>
      </c>
      <c r="C9" s="550"/>
      <c r="D9" s="550"/>
      <c r="E9" s="550"/>
      <c r="F9" s="550"/>
      <c r="G9" s="550"/>
      <c r="H9" s="550"/>
      <c r="I9" s="550"/>
      <c r="J9" s="550"/>
      <c r="K9" s="550"/>
      <c r="L9" s="551"/>
    </row>
    <row r="10" spans="2:12" s="117" customFormat="1" ht="18.75" customHeight="1" x14ac:dyDescent="0.25">
      <c r="B10" s="552" t="s">
        <v>23</v>
      </c>
      <c r="C10" s="553"/>
      <c r="D10" s="553"/>
      <c r="E10" s="553"/>
      <c r="F10" s="553"/>
      <c r="G10" s="553"/>
      <c r="H10" s="553"/>
      <c r="I10" s="553"/>
      <c r="J10" s="553"/>
      <c r="K10" s="553"/>
      <c r="L10" s="554"/>
    </row>
    <row r="11" spans="2:12" s="56" customFormat="1" ht="9.75" customHeight="1" x14ac:dyDescent="0.25">
      <c r="B11" s="55"/>
      <c r="L11" s="57"/>
    </row>
    <row r="12" spans="2:12" s="56" customFormat="1" ht="15.75" x14ac:dyDescent="0.25">
      <c r="B12" s="58" t="s">
        <v>43</v>
      </c>
      <c r="H12" s="56" t="s">
        <v>44</v>
      </c>
      <c r="L12" s="57"/>
    </row>
    <row r="13" spans="2:12" s="56" customFormat="1" ht="8.25" customHeight="1" x14ac:dyDescent="0.25">
      <c r="B13" s="58"/>
      <c r="L13" s="57"/>
    </row>
    <row r="14" spans="2:12" s="56" customFormat="1" ht="15.75" x14ac:dyDescent="0.25">
      <c r="B14" s="58" t="s">
        <v>45</v>
      </c>
      <c r="H14" s="56" t="s">
        <v>46</v>
      </c>
      <c r="L14" s="57"/>
    </row>
    <row r="15" spans="2:12" s="56" customFormat="1" ht="6.75" customHeight="1" x14ac:dyDescent="0.25">
      <c r="B15" s="55"/>
      <c r="L15" s="57"/>
    </row>
    <row r="16" spans="2:12" s="56" customFormat="1" ht="7.5" customHeight="1" x14ac:dyDescent="0.25">
      <c r="B16" s="59"/>
      <c r="C16" s="60"/>
      <c r="D16" s="60"/>
      <c r="E16" s="60"/>
      <c r="F16" s="60"/>
      <c r="G16" s="60"/>
      <c r="H16" s="60"/>
      <c r="I16" s="60"/>
      <c r="J16" s="60"/>
      <c r="K16" s="60"/>
      <c r="L16" s="61"/>
    </row>
    <row r="17" spans="2:20" s="62" customFormat="1" ht="24.75" customHeight="1" x14ac:dyDescent="0.25">
      <c r="B17" s="534" t="s">
        <v>16</v>
      </c>
      <c r="C17" s="507"/>
      <c r="D17" s="507"/>
      <c r="E17" s="507"/>
      <c r="F17" s="507"/>
      <c r="G17" s="507"/>
      <c r="H17" s="507"/>
      <c r="I17" s="507"/>
      <c r="J17" s="507"/>
      <c r="K17" s="507"/>
      <c r="L17" s="535"/>
    </row>
    <row r="18" spans="2:20" s="62" customFormat="1" ht="24.75" customHeight="1" x14ac:dyDescent="0.25">
      <c r="B18" s="534" t="s">
        <v>838</v>
      </c>
      <c r="C18" s="507"/>
      <c r="D18" s="507"/>
      <c r="E18" s="507"/>
      <c r="F18" s="507"/>
      <c r="G18" s="507"/>
      <c r="H18" s="507"/>
      <c r="I18" s="507"/>
      <c r="J18" s="507"/>
      <c r="K18" s="507"/>
      <c r="L18" s="535"/>
    </row>
    <row r="19" spans="2:20" s="56" customFormat="1" ht="7.5" customHeight="1" x14ac:dyDescent="0.25">
      <c r="B19" s="63"/>
      <c r="C19" s="64"/>
      <c r="D19" s="64"/>
      <c r="E19" s="64"/>
      <c r="F19" s="64"/>
      <c r="G19" s="64"/>
      <c r="H19" s="64"/>
      <c r="I19" s="64"/>
      <c r="J19" s="64"/>
      <c r="K19" s="64"/>
      <c r="L19" s="65"/>
    </row>
    <row r="20" spans="2:20" s="62" customFormat="1" ht="34.5" customHeight="1" x14ac:dyDescent="0.25">
      <c r="B20" s="538" t="s">
        <v>47</v>
      </c>
      <c r="C20" s="539"/>
      <c r="D20" s="539"/>
      <c r="E20" s="540"/>
      <c r="F20" s="538" t="s">
        <v>48</v>
      </c>
      <c r="G20" s="540"/>
      <c r="H20" s="118" t="s">
        <v>79</v>
      </c>
      <c r="I20" s="118" t="s">
        <v>80</v>
      </c>
      <c r="J20" s="118" t="s">
        <v>81</v>
      </c>
      <c r="K20" s="119" t="s">
        <v>82</v>
      </c>
      <c r="L20" s="118" t="s">
        <v>49</v>
      </c>
    </row>
    <row r="21" spans="2:20" s="56" customFormat="1" ht="15.75" x14ac:dyDescent="0.25">
      <c r="B21" s="541">
        <v>1</v>
      </c>
      <c r="C21" s="542"/>
      <c r="D21" s="542"/>
      <c r="E21" s="543"/>
      <c r="F21" s="541">
        <v>2</v>
      </c>
      <c r="G21" s="543"/>
      <c r="H21" s="67">
        <v>3</v>
      </c>
      <c r="I21" s="67">
        <v>4</v>
      </c>
      <c r="J21" s="67">
        <v>5</v>
      </c>
      <c r="K21" s="67">
        <v>6</v>
      </c>
      <c r="L21" s="67">
        <v>7</v>
      </c>
    </row>
    <row r="22" spans="2:20" s="75" customFormat="1" ht="15.75" x14ac:dyDescent="0.25">
      <c r="B22" s="68" t="s">
        <v>50</v>
      </c>
      <c r="C22" s="69"/>
      <c r="D22" s="69"/>
      <c r="E22" s="70"/>
      <c r="F22" s="71" t="s">
        <v>51</v>
      </c>
      <c r="G22" s="72"/>
      <c r="H22" s="120"/>
      <c r="I22" s="120"/>
      <c r="J22" s="120"/>
      <c r="K22" s="121"/>
      <c r="L22" s="122">
        <f>+L23+L26+L28+L32+L35+L38</f>
        <v>944848847</v>
      </c>
    </row>
    <row r="23" spans="2:20" s="75" customFormat="1" ht="15.75" x14ac:dyDescent="0.25">
      <c r="B23" s="76" t="s">
        <v>50</v>
      </c>
      <c r="C23" s="77" t="s">
        <v>50</v>
      </c>
      <c r="D23" s="77"/>
      <c r="E23" s="78"/>
      <c r="F23" s="79" t="s">
        <v>52</v>
      </c>
      <c r="G23" s="91"/>
      <c r="H23" s="123"/>
      <c r="I23" s="123"/>
      <c r="J23" s="123"/>
      <c r="K23" s="124"/>
      <c r="L23" s="125">
        <f>+L24</f>
        <v>81000000</v>
      </c>
      <c r="T23" s="126"/>
    </row>
    <row r="24" spans="2:20" s="56" customFormat="1" ht="15.75" x14ac:dyDescent="0.25">
      <c r="B24" s="76" t="s">
        <v>50</v>
      </c>
      <c r="C24" s="77" t="s">
        <v>50</v>
      </c>
      <c r="D24" s="77" t="s">
        <v>50</v>
      </c>
      <c r="E24" s="78"/>
      <c r="F24" s="127" t="s">
        <v>839</v>
      </c>
      <c r="G24" s="80"/>
      <c r="H24" s="128"/>
      <c r="I24" s="128"/>
      <c r="J24" s="128"/>
      <c r="K24" s="129"/>
      <c r="L24" s="125">
        <v>81000000</v>
      </c>
    </row>
    <row r="25" spans="2:20" s="75" customFormat="1" ht="15.75" x14ac:dyDescent="0.25">
      <c r="B25" s="98"/>
      <c r="C25" s="94"/>
      <c r="D25" s="94"/>
      <c r="E25" s="95"/>
      <c r="F25" s="127"/>
      <c r="G25" s="91"/>
      <c r="H25" s="123"/>
      <c r="I25" s="123"/>
      <c r="J25" s="123"/>
      <c r="K25" s="124"/>
      <c r="L25" s="130"/>
    </row>
    <row r="26" spans="2:20" s="56" customFormat="1" ht="15.75" x14ac:dyDescent="0.25">
      <c r="B26" s="76" t="s">
        <v>50</v>
      </c>
      <c r="C26" s="77" t="s">
        <v>53</v>
      </c>
      <c r="D26" s="77"/>
      <c r="E26" s="78"/>
      <c r="F26" s="79" t="s">
        <v>54</v>
      </c>
      <c r="G26" s="80"/>
      <c r="H26" s="128"/>
      <c r="I26" s="128"/>
      <c r="J26" s="128"/>
      <c r="K26" s="129"/>
      <c r="L26" s="125">
        <v>0</v>
      </c>
    </row>
    <row r="27" spans="2:20" s="75" customFormat="1" ht="15.75" x14ac:dyDescent="0.25">
      <c r="B27" s="98"/>
      <c r="C27" s="94"/>
      <c r="D27" s="94"/>
      <c r="E27" s="95"/>
      <c r="F27" s="96"/>
      <c r="G27" s="91"/>
      <c r="H27" s="123"/>
      <c r="I27" s="123"/>
      <c r="J27" s="123"/>
      <c r="K27" s="124"/>
      <c r="L27" s="130"/>
    </row>
    <row r="28" spans="2:20" s="56" customFormat="1" ht="15.75" x14ac:dyDescent="0.25">
      <c r="B28" s="76" t="s">
        <v>50</v>
      </c>
      <c r="C28" s="77" t="s">
        <v>55</v>
      </c>
      <c r="D28" s="77"/>
      <c r="E28" s="78"/>
      <c r="F28" s="79" t="s">
        <v>56</v>
      </c>
      <c r="G28" s="80"/>
      <c r="H28" s="128"/>
      <c r="I28" s="128"/>
      <c r="J28" s="128"/>
      <c r="K28" s="129"/>
      <c r="L28" s="125">
        <f>SUM(L29:L30)</f>
        <v>863627117</v>
      </c>
    </row>
    <row r="29" spans="2:20" s="56" customFormat="1" ht="15.75" x14ac:dyDescent="0.25">
      <c r="B29" s="76" t="s">
        <v>50</v>
      </c>
      <c r="C29" s="77" t="s">
        <v>55</v>
      </c>
      <c r="D29" s="77" t="s">
        <v>50</v>
      </c>
      <c r="E29" s="78"/>
      <c r="F29" s="127" t="s">
        <v>83</v>
      </c>
      <c r="G29" s="80"/>
      <c r="H29" s="128"/>
      <c r="I29" s="128"/>
      <c r="J29" s="128"/>
      <c r="K29" s="129"/>
      <c r="L29" s="125">
        <v>721127117</v>
      </c>
    </row>
    <row r="30" spans="2:20" s="56" customFormat="1" ht="15.75" x14ac:dyDescent="0.25">
      <c r="B30" s="76" t="s">
        <v>50</v>
      </c>
      <c r="C30" s="77" t="s">
        <v>55</v>
      </c>
      <c r="D30" s="77" t="s">
        <v>53</v>
      </c>
      <c r="E30" s="78"/>
      <c r="F30" s="127" t="s">
        <v>840</v>
      </c>
      <c r="G30" s="80"/>
      <c r="H30" s="128"/>
      <c r="I30" s="128"/>
      <c r="J30" s="128"/>
      <c r="K30" s="129"/>
      <c r="L30" s="125">
        <v>142500000</v>
      </c>
      <c r="P30" s="131"/>
    </row>
    <row r="31" spans="2:20" s="56" customFormat="1" ht="15.75" x14ac:dyDescent="0.25">
      <c r="B31" s="76"/>
      <c r="C31" s="77"/>
      <c r="D31" s="77"/>
      <c r="E31" s="78"/>
      <c r="F31" s="127"/>
      <c r="G31" s="80"/>
      <c r="H31" s="128"/>
      <c r="I31" s="128"/>
      <c r="J31" s="128"/>
      <c r="K31" s="129"/>
      <c r="L31" s="125"/>
    </row>
    <row r="32" spans="2:20" s="56" customFormat="1" ht="15.75" x14ac:dyDescent="0.25">
      <c r="B32" s="76" t="s">
        <v>50</v>
      </c>
      <c r="C32" s="77" t="s">
        <v>57</v>
      </c>
      <c r="D32" s="77"/>
      <c r="E32" s="78"/>
      <c r="F32" s="79" t="s">
        <v>58</v>
      </c>
      <c r="G32" s="80"/>
      <c r="H32" s="128"/>
      <c r="I32" s="128"/>
      <c r="J32" s="128"/>
      <c r="K32" s="129"/>
      <c r="L32" s="125">
        <f>+L33</f>
        <v>0</v>
      </c>
      <c r="Q32" s="131"/>
    </row>
    <row r="33" spans="2:12" s="56" customFormat="1" ht="15.75" x14ac:dyDescent="0.25">
      <c r="B33" s="76" t="s">
        <v>50</v>
      </c>
      <c r="C33" s="77" t="s">
        <v>57</v>
      </c>
      <c r="D33" s="77" t="s">
        <v>50</v>
      </c>
      <c r="E33" s="78"/>
      <c r="F33" s="127" t="s">
        <v>84</v>
      </c>
      <c r="G33" s="80"/>
      <c r="H33" s="128"/>
      <c r="I33" s="128"/>
      <c r="J33" s="128"/>
      <c r="K33" s="129"/>
      <c r="L33" s="125"/>
    </row>
    <row r="34" spans="2:12" s="75" customFormat="1" ht="15.75" x14ac:dyDescent="0.25">
      <c r="B34" s="98"/>
      <c r="C34" s="94"/>
      <c r="D34" s="94"/>
      <c r="E34" s="95"/>
      <c r="F34" s="96"/>
      <c r="G34" s="91"/>
      <c r="H34" s="123"/>
      <c r="I34" s="123"/>
      <c r="J34" s="123"/>
      <c r="K34" s="124"/>
      <c r="L34" s="130"/>
    </row>
    <row r="35" spans="2:12" s="56" customFormat="1" ht="15.75" x14ac:dyDescent="0.25">
      <c r="B35" s="76" t="s">
        <v>50</v>
      </c>
      <c r="C35" s="77" t="s">
        <v>59</v>
      </c>
      <c r="D35" s="77"/>
      <c r="E35" s="78"/>
      <c r="F35" s="79" t="s">
        <v>60</v>
      </c>
      <c r="G35" s="80"/>
      <c r="H35" s="128"/>
      <c r="I35" s="128"/>
      <c r="J35" s="128"/>
      <c r="K35" s="129"/>
      <c r="L35" s="125">
        <f>+L36</f>
        <v>0</v>
      </c>
    </row>
    <row r="36" spans="2:12" s="56" customFormat="1" ht="15.75" x14ac:dyDescent="0.25">
      <c r="B36" s="76" t="s">
        <v>50</v>
      </c>
      <c r="C36" s="77" t="s">
        <v>59</v>
      </c>
      <c r="D36" s="77" t="s">
        <v>50</v>
      </c>
      <c r="E36" s="78"/>
      <c r="F36" s="127" t="s">
        <v>85</v>
      </c>
      <c r="G36" s="80"/>
      <c r="H36" s="128"/>
      <c r="I36" s="128"/>
      <c r="J36" s="128"/>
      <c r="K36" s="129"/>
      <c r="L36" s="125"/>
    </row>
    <row r="37" spans="2:12" s="56" customFormat="1" ht="15.75" x14ac:dyDescent="0.25">
      <c r="B37" s="76"/>
      <c r="C37" s="77"/>
      <c r="D37" s="77"/>
      <c r="E37" s="78"/>
      <c r="F37" s="79"/>
      <c r="G37" s="80"/>
      <c r="H37" s="128"/>
      <c r="I37" s="128"/>
      <c r="J37" s="128"/>
      <c r="K37" s="129"/>
      <c r="L37" s="125"/>
    </row>
    <row r="38" spans="2:12" s="56" customFormat="1" ht="15.75" x14ac:dyDescent="0.25">
      <c r="B38" s="76" t="s">
        <v>50</v>
      </c>
      <c r="C38" s="77" t="s">
        <v>61</v>
      </c>
      <c r="D38" s="77"/>
      <c r="E38" s="78"/>
      <c r="F38" s="79" t="s">
        <v>86</v>
      </c>
      <c r="G38" s="80"/>
      <c r="H38" s="128"/>
      <c r="I38" s="128"/>
      <c r="J38" s="128"/>
      <c r="K38" s="129"/>
      <c r="L38" s="125">
        <f>L40+L39</f>
        <v>221730</v>
      </c>
    </row>
    <row r="39" spans="2:12" s="56" customFormat="1" ht="15.75" x14ac:dyDescent="0.25">
      <c r="B39" s="76" t="s">
        <v>50</v>
      </c>
      <c r="C39" s="77" t="s">
        <v>61</v>
      </c>
      <c r="D39" s="77" t="s">
        <v>50</v>
      </c>
      <c r="E39" s="78"/>
      <c r="F39" s="127" t="s">
        <v>831</v>
      </c>
      <c r="G39" s="80"/>
      <c r="H39" s="128"/>
      <c r="I39" s="128"/>
      <c r="J39" s="128"/>
      <c r="K39" s="129"/>
      <c r="L39" s="125">
        <v>79000</v>
      </c>
    </row>
    <row r="40" spans="2:12" s="56" customFormat="1" ht="15.75" x14ac:dyDescent="0.25">
      <c r="B40" s="76" t="s">
        <v>50</v>
      </c>
      <c r="C40" s="77" t="s">
        <v>61</v>
      </c>
      <c r="D40" s="77" t="s">
        <v>53</v>
      </c>
      <c r="E40" s="157"/>
      <c r="F40" s="425" t="s">
        <v>553</v>
      </c>
      <c r="G40" s="158"/>
      <c r="H40" s="426"/>
      <c r="I40" s="426"/>
      <c r="J40" s="426"/>
      <c r="K40" s="427"/>
      <c r="L40" s="428">
        <v>142730</v>
      </c>
    </row>
    <row r="41" spans="2:12" s="75" customFormat="1" ht="15.75" x14ac:dyDescent="0.25">
      <c r="B41" s="132"/>
      <c r="C41" s="133"/>
      <c r="D41" s="133"/>
      <c r="E41" s="134"/>
      <c r="F41" s="135"/>
      <c r="G41" s="136"/>
      <c r="H41" s="137"/>
      <c r="I41" s="137"/>
      <c r="J41" s="137"/>
      <c r="K41" s="138"/>
      <c r="L41" s="139"/>
    </row>
    <row r="42" spans="2:12" s="75" customFormat="1" ht="15.75" x14ac:dyDescent="0.25">
      <c r="B42" s="106"/>
      <c r="C42" s="107"/>
      <c r="D42" s="107"/>
      <c r="E42" s="108"/>
      <c r="F42" s="140" t="s">
        <v>87</v>
      </c>
      <c r="G42" s="141"/>
      <c r="H42" s="142"/>
      <c r="I42" s="142"/>
      <c r="J42" s="142"/>
      <c r="K42" s="143"/>
      <c r="L42" s="144">
        <f>+L22</f>
        <v>944848847</v>
      </c>
    </row>
    <row r="43" spans="2:12" s="56" customFormat="1" ht="15.75" x14ac:dyDescent="0.25">
      <c r="B43" s="110"/>
      <c r="C43" s="111"/>
      <c r="D43" s="111"/>
      <c r="E43" s="111"/>
      <c r="F43" s="112"/>
      <c r="L43" s="57"/>
    </row>
    <row r="44" spans="2:12" s="56" customFormat="1" ht="15.75" x14ac:dyDescent="0.25">
      <c r="B44" s="110"/>
      <c r="D44" s="111"/>
      <c r="E44" s="113" t="s">
        <v>74</v>
      </c>
      <c r="F44" s="112"/>
      <c r="L44" s="57"/>
    </row>
    <row r="45" spans="2:12" s="56" customFormat="1" ht="15.75" x14ac:dyDescent="0.25">
      <c r="B45" s="110"/>
      <c r="D45" s="111"/>
      <c r="E45" s="113" t="s">
        <v>75</v>
      </c>
      <c r="F45" s="112"/>
      <c r="K45" s="113" t="s">
        <v>26</v>
      </c>
      <c r="L45" s="57"/>
    </row>
    <row r="46" spans="2:12" s="56" customFormat="1" ht="15.75" x14ac:dyDescent="0.25">
      <c r="B46" s="110"/>
      <c r="C46" s="114"/>
      <c r="D46" s="111"/>
      <c r="E46" s="111"/>
      <c r="F46" s="112"/>
      <c r="K46" s="114"/>
      <c r="L46" s="57"/>
    </row>
    <row r="47" spans="2:12" s="56" customFormat="1" ht="15.75" x14ac:dyDescent="0.25">
      <c r="B47" s="110"/>
      <c r="C47" s="114"/>
      <c r="D47" s="111"/>
      <c r="E47" s="111"/>
      <c r="F47" s="112"/>
      <c r="K47" s="114"/>
      <c r="L47" s="57"/>
    </row>
    <row r="48" spans="2:12" s="56" customFormat="1" ht="15.75" x14ac:dyDescent="0.25">
      <c r="B48" s="110"/>
      <c r="C48" s="113"/>
      <c r="D48" s="111"/>
      <c r="E48" s="111"/>
      <c r="F48" s="112"/>
      <c r="K48" s="113"/>
      <c r="L48" s="57"/>
    </row>
    <row r="49" spans="2:12" s="56" customFormat="1" ht="15.75" x14ac:dyDescent="0.25">
      <c r="B49" s="110"/>
      <c r="D49" s="111"/>
      <c r="E49" s="113" t="s">
        <v>27</v>
      </c>
      <c r="F49" s="112"/>
      <c r="K49" s="113" t="s">
        <v>28</v>
      </c>
      <c r="L49" s="57"/>
    </row>
    <row r="50" spans="2:12" s="56" customFormat="1" ht="15.75" x14ac:dyDescent="0.25">
      <c r="B50" s="110"/>
      <c r="C50" s="111"/>
      <c r="D50" s="111"/>
      <c r="E50" s="111"/>
      <c r="F50" s="112"/>
      <c r="K50" s="56" t="s">
        <v>76</v>
      </c>
      <c r="L50" s="57"/>
    </row>
    <row r="51" spans="2:12" s="56" customFormat="1" ht="15.75" x14ac:dyDescent="0.25">
      <c r="B51" s="145"/>
      <c r="C51" s="146"/>
      <c r="D51" s="146"/>
      <c r="E51" s="146"/>
      <c r="F51" s="147"/>
      <c r="G51" s="64"/>
      <c r="H51" s="64"/>
      <c r="I51" s="64"/>
      <c r="J51" s="64"/>
      <c r="K51" s="64"/>
      <c r="L51" s="65"/>
    </row>
  </sheetData>
  <mergeCells count="10">
    <mergeCell ref="B20:E20"/>
    <mergeCell ref="F20:G20"/>
    <mergeCell ref="B21:E21"/>
    <mergeCell ref="F21:G21"/>
    <mergeCell ref="L1:L6"/>
    <mergeCell ref="B8:L8"/>
    <mergeCell ref="B9:L9"/>
    <mergeCell ref="B10:L10"/>
    <mergeCell ref="B17:L17"/>
    <mergeCell ref="B18:L18"/>
  </mergeCells>
  <pageMargins left="0.70866141732283472" right="0.31496062992125984" top="0.74803149606299213" bottom="1.1417322834645669" header="0.31496062992125984" footer="0.31496062992125984"/>
  <pageSetup paperSize="124" scale="97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F7FBC-3CCA-45B6-BD10-B3B0B36A8C5D}">
  <sheetPr>
    <pageSetUpPr fitToPage="1"/>
  </sheetPr>
  <dimension ref="B1:P62"/>
  <sheetViews>
    <sheetView showGridLines="0" topLeftCell="A29" zoomScale="110" zoomScaleNormal="110" workbookViewId="0">
      <selection activeCell="P18" sqref="P18"/>
    </sheetView>
  </sheetViews>
  <sheetFormatPr defaultColWidth="9.140625" defaultRowHeight="15" x14ac:dyDescent="0.25"/>
  <cols>
    <col min="1" max="1" width="2.42578125" style="4" customWidth="1"/>
    <col min="2" max="4" width="2.28515625" style="4" customWidth="1"/>
    <col min="5" max="5" width="2.7109375" style="4" customWidth="1"/>
    <col min="6" max="6" width="9.140625" style="4"/>
    <col min="7" max="7" width="21.5703125" style="4" customWidth="1"/>
    <col min="8" max="8" width="8" style="4" customWidth="1"/>
    <col min="9" max="9" width="8.28515625" style="4" customWidth="1"/>
    <col min="10" max="10" width="8.140625" style="4" customWidth="1"/>
    <col min="11" max="11" width="21.85546875" style="4" customWidth="1"/>
    <col min="12" max="12" width="18.85546875" style="4" customWidth="1"/>
    <col min="13" max="15" width="9.140625" style="4"/>
    <col min="16" max="16" width="17.140625" style="4" customWidth="1"/>
    <col min="17" max="16384" width="9.140625" style="4"/>
  </cols>
  <sheetData>
    <row r="1" spans="2:12" ht="15" customHeight="1" x14ac:dyDescent="0.25">
      <c r="B1" s="47"/>
      <c r="C1" s="48"/>
      <c r="D1" s="48"/>
      <c r="E1" s="48"/>
      <c r="F1" s="48"/>
      <c r="G1" s="48"/>
      <c r="H1" s="48"/>
      <c r="I1" s="48"/>
      <c r="J1" s="48"/>
      <c r="K1" s="49"/>
      <c r="L1" s="544" t="s">
        <v>88</v>
      </c>
    </row>
    <row r="2" spans="2:12" ht="15" customHeight="1" x14ac:dyDescent="0.25">
      <c r="B2" s="50"/>
      <c r="K2" s="51"/>
      <c r="L2" s="545"/>
    </row>
    <row r="3" spans="2:12" ht="15" customHeight="1" x14ac:dyDescent="0.25">
      <c r="B3" s="50"/>
      <c r="K3" s="51"/>
      <c r="L3" s="545"/>
    </row>
    <row r="4" spans="2:12" ht="15" customHeight="1" x14ac:dyDescent="0.25">
      <c r="B4" s="50"/>
      <c r="K4" s="51"/>
      <c r="L4" s="545"/>
    </row>
    <row r="5" spans="2:12" ht="15" customHeight="1" x14ac:dyDescent="0.25">
      <c r="B5" s="50"/>
      <c r="K5" s="51"/>
      <c r="L5" s="545"/>
    </row>
    <row r="6" spans="2:12" ht="15" customHeight="1" x14ac:dyDescent="0.25">
      <c r="B6" s="50"/>
      <c r="K6" s="51"/>
      <c r="L6" s="545"/>
    </row>
    <row r="7" spans="2:12" ht="9.75" customHeight="1" x14ac:dyDescent="0.25">
      <c r="B7" s="50"/>
      <c r="K7" s="115"/>
      <c r="L7" s="116"/>
    </row>
    <row r="8" spans="2:12" s="117" customFormat="1" ht="20.25" x14ac:dyDescent="0.25">
      <c r="B8" s="555" t="s">
        <v>78</v>
      </c>
      <c r="C8" s="556"/>
      <c r="D8" s="556"/>
      <c r="E8" s="556"/>
      <c r="F8" s="556"/>
      <c r="G8" s="556"/>
      <c r="H8" s="556"/>
      <c r="I8" s="556"/>
      <c r="J8" s="556"/>
      <c r="K8" s="556"/>
      <c r="L8" s="531"/>
    </row>
    <row r="9" spans="2:12" s="117" customFormat="1" ht="20.25" x14ac:dyDescent="0.25">
      <c r="B9" s="557" t="s">
        <v>1</v>
      </c>
      <c r="C9" s="558"/>
      <c r="D9" s="558"/>
      <c r="E9" s="558"/>
      <c r="F9" s="558"/>
      <c r="G9" s="558"/>
      <c r="H9" s="558"/>
      <c r="I9" s="558"/>
      <c r="J9" s="558"/>
      <c r="K9" s="558"/>
      <c r="L9" s="532"/>
    </row>
    <row r="10" spans="2:12" s="117" customFormat="1" ht="18.75" customHeight="1" x14ac:dyDescent="0.25">
      <c r="B10" s="552" t="s">
        <v>836</v>
      </c>
      <c r="C10" s="553"/>
      <c r="D10" s="553"/>
      <c r="E10" s="553"/>
      <c r="F10" s="553"/>
      <c r="G10" s="553"/>
      <c r="H10" s="553"/>
      <c r="I10" s="553"/>
      <c r="J10" s="553"/>
      <c r="K10" s="553"/>
      <c r="L10" s="554"/>
    </row>
    <row r="11" spans="2:12" s="56" customFormat="1" ht="9.75" customHeight="1" x14ac:dyDescent="0.25">
      <c r="B11" s="55"/>
      <c r="L11" s="57"/>
    </row>
    <row r="12" spans="2:12" s="56" customFormat="1" ht="15.75" x14ac:dyDescent="0.25">
      <c r="B12" s="58" t="s">
        <v>43</v>
      </c>
      <c r="H12" s="56" t="s">
        <v>44</v>
      </c>
      <c r="L12" s="57"/>
    </row>
    <row r="13" spans="2:12" s="56" customFormat="1" ht="8.25" customHeight="1" x14ac:dyDescent="0.25">
      <c r="B13" s="58"/>
      <c r="L13" s="57"/>
    </row>
    <row r="14" spans="2:12" s="56" customFormat="1" ht="15.75" x14ac:dyDescent="0.25">
      <c r="B14" s="58" t="s">
        <v>45</v>
      </c>
      <c r="H14" s="56" t="s">
        <v>46</v>
      </c>
      <c r="L14" s="57"/>
    </row>
    <row r="15" spans="2:12" s="56" customFormat="1" ht="6.75" customHeight="1" x14ac:dyDescent="0.25">
      <c r="B15" s="55"/>
      <c r="L15" s="57"/>
    </row>
    <row r="16" spans="2:12" s="56" customFormat="1" ht="7.5" customHeight="1" x14ac:dyDescent="0.25">
      <c r="B16" s="59"/>
      <c r="C16" s="60"/>
      <c r="D16" s="60"/>
      <c r="E16" s="60"/>
      <c r="F16" s="60"/>
      <c r="G16" s="60"/>
      <c r="H16" s="60"/>
      <c r="I16" s="60"/>
      <c r="J16" s="60"/>
      <c r="K16" s="60"/>
      <c r="L16" s="61"/>
    </row>
    <row r="17" spans="2:16" s="62" customFormat="1" ht="24.75" customHeight="1" x14ac:dyDescent="0.25">
      <c r="B17" s="534" t="s">
        <v>18</v>
      </c>
      <c r="C17" s="507"/>
      <c r="D17" s="507"/>
      <c r="E17" s="507"/>
      <c r="F17" s="507"/>
      <c r="G17" s="507"/>
      <c r="H17" s="507"/>
      <c r="I17" s="507"/>
      <c r="J17" s="507"/>
      <c r="K17" s="507"/>
      <c r="L17" s="535"/>
    </row>
    <row r="18" spans="2:16" s="62" customFormat="1" ht="24.75" customHeight="1" x14ac:dyDescent="0.25">
      <c r="B18" s="534" t="s">
        <v>838</v>
      </c>
      <c r="C18" s="507"/>
      <c r="D18" s="507"/>
      <c r="E18" s="507"/>
      <c r="F18" s="507"/>
      <c r="G18" s="507"/>
      <c r="H18" s="507"/>
      <c r="I18" s="507"/>
      <c r="J18" s="507"/>
      <c r="K18" s="507"/>
      <c r="L18" s="535"/>
    </row>
    <row r="19" spans="2:16" s="56" customFormat="1" ht="7.5" customHeight="1" x14ac:dyDescent="0.25">
      <c r="B19" s="63"/>
      <c r="C19" s="64"/>
      <c r="D19" s="64"/>
      <c r="E19" s="64"/>
      <c r="F19" s="64"/>
      <c r="G19" s="64"/>
      <c r="H19" s="64"/>
      <c r="I19" s="64"/>
      <c r="J19" s="64"/>
      <c r="K19" s="64"/>
      <c r="L19" s="65"/>
    </row>
    <row r="20" spans="2:16" s="62" customFormat="1" ht="34.5" customHeight="1" x14ac:dyDescent="0.25">
      <c r="B20" s="538" t="s">
        <v>47</v>
      </c>
      <c r="C20" s="539"/>
      <c r="D20" s="539"/>
      <c r="E20" s="540"/>
      <c r="F20" s="538" t="s">
        <v>48</v>
      </c>
      <c r="G20" s="539"/>
      <c r="H20" s="539"/>
      <c r="I20" s="539"/>
      <c r="J20" s="539"/>
      <c r="K20" s="540"/>
      <c r="L20" s="118" t="s">
        <v>49</v>
      </c>
    </row>
    <row r="21" spans="2:16" s="56" customFormat="1" ht="15.75" x14ac:dyDescent="0.25">
      <c r="B21" s="541">
        <v>1</v>
      </c>
      <c r="C21" s="542"/>
      <c r="D21" s="542"/>
      <c r="E21" s="543"/>
      <c r="F21" s="541">
        <v>2</v>
      </c>
      <c r="G21" s="542"/>
      <c r="H21" s="542"/>
      <c r="I21" s="542"/>
      <c r="J21" s="542"/>
      <c r="K21" s="543"/>
      <c r="L21" s="67">
        <v>7</v>
      </c>
    </row>
    <row r="22" spans="2:16" s="75" customFormat="1" ht="15.75" x14ac:dyDescent="0.25">
      <c r="B22" s="98" t="s">
        <v>59</v>
      </c>
      <c r="C22" s="94"/>
      <c r="D22" s="94"/>
      <c r="E22" s="95"/>
      <c r="F22" s="148" t="s">
        <v>89</v>
      </c>
      <c r="G22" s="91"/>
      <c r="H22" s="91"/>
      <c r="I22" s="91"/>
      <c r="J22" s="91"/>
      <c r="K22" s="92"/>
      <c r="L22" s="93">
        <f>L23+L26+L28+L33+L36+L42+L45+L50</f>
        <v>221637000</v>
      </c>
    </row>
    <row r="23" spans="2:16" s="75" customFormat="1" ht="15.75" x14ac:dyDescent="0.25">
      <c r="B23" s="98" t="s">
        <v>59</v>
      </c>
      <c r="C23" s="94" t="s">
        <v>50</v>
      </c>
      <c r="D23" s="94"/>
      <c r="E23" s="95"/>
      <c r="F23" s="149" t="s">
        <v>90</v>
      </c>
      <c r="G23" s="91"/>
      <c r="H23" s="91"/>
      <c r="I23" s="91"/>
      <c r="J23" s="91"/>
      <c r="K23" s="92"/>
      <c r="L23" s="93">
        <v>0</v>
      </c>
    </row>
    <row r="24" spans="2:16" s="75" customFormat="1" ht="15.75" x14ac:dyDescent="0.25">
      <c r="B24" s="98"/>
      <c r="C24" s="94"/>
      <c r="D24" s="94"/>
      <c r="E24" s="95"/>
      <c r="F24" s="150" t="s">
        <v>716</v>
      </c>
      <c r="G24" s="91"/>
      <c r="H24" s="91"/>
      <c r="I24" s="91"/>
      <c r="J24" s="91"/>
      <c r="K24" s="92"/>
      <c r="L24" s="93">
        <f>'DPA SP 5 1'!N24</f>
        <v>8083000</v>
      </c>
    </row>
    <row r="25" spans="2:16" s="75" customFormat="1" ht="15.75" x14ac:dyDescent="0.25">
      <c r="B25" s="76"/>
      <c r="C25" s="77"/>
      <c r="D25" s="77"/>
      <c r="E25" s="78"/>
      <c r="F25" s="150"/>
      <c r="G25" s="80"/>
      <c r="H25" s="80"/>
      <c r="I25" s="80"/>
      <c r="J25" s="80"/>
      <c r="K25" s="81"/>
      <c r="L25" s="151"/>
      <c r="P25" s="462"/>
    </row>
    <row r="26" spans="2:16" s="75" customFormat="1" ht="15.75" x14ac:dyDescent="0.25">
      <c r="B26" s="98" t="s">
        <v>59</v>
      </c>
      <c r="C26" s="94" t="s">
        <v>53</v>
      </c>
      <c r="D26" s="94"/>
      <c r="E26" s="95"/>
      <c r="F26" s="149" t="s">
        <v>92</v>
      </c>
      <c r="G26" s="91"/>
      <c r="H26" s="91"/>
      <c r="I26" s="91"/>
      <c r="J26" s="91"/>
      <c r="K26" s="92"/>
      <c r="L26" s="152">
        <v>0</v>
      </c>
      <c r="P26" s="462"/>
    </row>
    <row r="27" spans="2:16" s="75" customFormat="1" ht="15.75" x14ac:dyDescent="0.25">
      <c r="B27" s="76"/>
      <c r="C27" s="77"/>
      <c r="D27" s="77"/>
      <c r="E27" s="78"/>
      <c r="F27" s="150"/>
      <c r="G27" s="80"/>
      <c r="H27" s="80"/>
      <c r="I27" s="80"/>
      <c r="J27" s="80"/>
      <c r="K27" s="81"/>
      <c r="L27" s="151"/>
      <c r="P27" s="462"/>
    </row>
    <row r="28" spans="2:16" s="75" customFormat="1" ht="15.75" x14ac:dyDescent="0.25">
      <c r="B28" s="98" t="s">
        <v>59</v>
      </c>
      <c r="C28" s="94" t="s">
        <v>55</v>
      </c>
      <c r="D28" s="94"/>
      <c r="E28" s="95"/>
      <c r="F28" s="149" t="s">
        <v>93</v>
      </c>
      <c r="G28" s="91"/>
      <c r="H28" s="91"/>
      <c r="I28" s="91"/>
      <c r="J28" s="91"/>
      <c r="K28" s="92"/>
      <c r="L28" s="463">
        <f>SUM(L29:L31)</f>
        <v>51855000</v>
      </c>
    </row>
    <row r="29" spans="2:16" s="75" customFormat="1" ht="15.75" x14ac:dyDescent="0.25">
      <c r="B29" s="76" t="s">
        <v>59</v>
      </c>
      <c r="C29" s="77" t="s">
        <v>55</v>
      </c>
      <c r="D29" s="77" t="s">
        <v>50</v>
      </c>
      <c r="E29" s="78"/>
      <c r="F29" s="150" t="s">
        <v>94</v>
      </c>
      <c r="G29" s="80"/>
      <c r="H29" s="80"/>
      <c r="I29" s="80"/>
      <c r="J29" s="80"/>
      <c r="K29" s="81"/>
      <c r="L29" s="464">
        <f>'DPA SP 5 1'!N33</f>
        <v>3755000</v>
      </c>
    </row>
    <row r="30" spans="2:16" s="75" customFormat="1" ht="15.75" x14ac:dyDescent="0.25">
      <c r="B30" s="76" t="s">
        <v>59</v>
      </c>
      <c r="C30" s="77" t="s">
        <v>55</v>
      </c>
      <c r="D30" s="77" t="s">
        <v>53</v>
      </c>
      <c r="E30" s="78"/>
      <c r="F30" s="150" t="s">
        <v>95</v>
      </c>
      <c r="G30" s="80"/>
      <c r="H30" s="80"/>
      <c r="I30" s="80"/>
      <c r="J30" s="80"/>
      <c r="K30" s="81"/>
      <c r="L30" s="464">
        <f>'DPA SP 5 1'!N36</f>
        <v>1080000</v>
      </c>
      <c r="P30" s="466"/>
    </row>
    <row r="31" spans="2:16" s="75" customFormat="1" ht="15.75" x14ac:dyDescent="0.25">
      <c r="B31" s="76" t="s">
        <v>59</v>
      </c>
      <c r="C31" s="77" t="s">
        <v>55</v>
      </c>
      <c r="D31" s="77" t="s">
        <v>55</v>
      </c>
      <c r="E31" s="78"/>
      <c r="F31" s="150" t="s">
        <v>91</v>
      </c>
      <c r="G31" s="80"/>
      <c r="H31" s="80"/>
      <c r="I31" s="80"/>
      <c r="J31" s="80"/>
      <c r="K31" s="81"/>
      <c r="L31" s="464">
        <f>'DPA SP 5 1'!N39</f>
        <v>47020000</v>
      </c>
    </row>
    <row r="32" spans="2:16" s="75" customFormat="1" ht="15.75" x14ac:dyDescent="0.25">
      <c r="B32" s="76"/>
      <c r="C32" s="77"/>
      <c r="D32" s="77"/>
      <c r="E32" s="78"/>
      <c r="F32" s="150"/>
      <c r="G32" s="80"/>
      <c r="H32" s="80"/>
      <c r="I32" s="80"/>
      <c r="J32" s="80"/>
      <c r="K32" s="81"/>
      <c r="L32" s="464"/>
    </row>
    <row r="33" spans="2:12" s="75" customFormat="1" ht="15.75" x14ac:dyDescent="0.25">
      <c r="B33" s="98" t="s">
        <v>59</v>
      </c>
      <c r="C33" s="94" t="s">
        <v>57</v>
      </c>
      <c r="D33" s="94"/>
      <c r="E33" s="95"/>
      <c r="F33" s="149" t="s">
        <v>97</v>
      </c>
      <c r="G33" s="91"/>
      <c r="H33" s="91"/>
      <c r="I33" s="91"/>
      <c r="J33" s="91"/>
      <c r="K33" s="92"/>
      <c r="L33" s="463">
        <f>SUM(L34:L34)</f>
        <v>10420000</v>
      </c>
    </row>
    <row r="34" spans="2:12" s="75" customFormat="1" ht="15.75" x14ac:dyDescent="0.25">
      <c r="B34" s="76" t="s">
        <v>59</v>
      </c>
      <c r="C34" s="77" t="s">
        <v>57</v>
      </c>
      <c r="D34" s="77" t="s">
        <v>53</v>
      </c>
      <c r="E34" s="78"/>
      <c r="F34" s="150" t="s">
        <v>98</v>
      </c>
      <c r="G34" s="80"/>
      <c r="H34" s="80"/>
      <c r="I34" s="80"/>
      <c r="J34" s="80"/>
      <c r="K34" s="81"/>
      <c r="L34" s="464">
        <f>'DPA SP 5 1'!N44</f>
        <v>10420000</v>
      </c>
    </row>
    <row r="35" spans="2:12" s="75" customFormat="1" ht="15.75" x14ac:dyDescent="0.25">
      <c r="B35" s="76"/>
      <c r="C35" s="77"/>
      <c r="D35" s="77"/>
      <c r="E35" s="78"/>
      <c r="F35" s="150"/>
      <c r="G35" s="80"/>
      <c r="H35" s="80"/>
      <c r="I35" s="80"/>
      <c r="J35" s="80"/>
      <c r="K35" s="81"/>
      <c r="L35" s="464"/>
    </row>
    <row r="36" spans="2:12" s="75" customFormat="1" ht="15.75" x14ac:dyDescent="0.25">
      <c r="B36" s="98" t="s">
        <v>59</v>
      </c>
      <c r="C36" s="94" t="s">
        <v>59</v>
      </c>
      <c r="D36" s="94"/>
      <c r="E36" s="95"/>
      <c r="F36" s="149" t="s">
        <v>99</v>
      </c>
      <c r="G36" s="91"/>
      <c r="H36" s="91"/>
      <c r="I36" s="91"/>
      <c r="J36" s="91"/>
      <c r="K36" s="92"/>
      <c r="L36" s="463">
        <f>SUM(L37:L40)</f>
        <v>114047200</v>
      </c>
    </row>
    <row r="37" spans="2:12" s="75" customFormat="1" ht="15.75" x14ac:dyDescent="0.25">
      <c r="B37" s="76" t="s">
        <v>59</v>
      </c>
      <c r="C37" s="77" t="s">
        <v>59</v>
      </c>
      <c r="D37" s="77" t="s">
        <v>50</v>
      </c>
      <c r="E37" s="78"/>
      <c r="F37" s="150" t="s">
        <v>95</v>
      </c>
      <c r="G37" s="80"/>
      <c r="H37" s="80"/>
      <c r="I37" s="80"/>
      <c r="J37" s="80"/>
      <c r="K37" s="81"/>
      <c r="L37" s="464">
        <f>'DPA SP 5 1'!N49</f>
        <v>15750000</v>
      </c>
    </row>
    <row r="38" spans="2:12" s="75" customFormat="1" ht="15.75" x14ac:dyDescent="0.25">
      <c r="B38" s="76" t="s">
        <v>59</v>
      </c>
      <c r="C38" s="77" t="s">
        <v>59</v>
      </c>
      <c r="D38" s="77" t="s">
        <v>55</v>
      </c>
      <c r="E38" s="78"/>
      <c r="F38" s="150" t="s">
        <v>96</v>
      </c>
      <c r="G38" s="80"/>
      <c r="H38" s="80"/>
      <c r="I38" s="80"/>
      <c r="J38" s="80"/>
      <c r="K38" s="81"/>
      <c r="L38" s="464">
        <f>'DPA SP 5 1'!N52</f>
        <v>1500000</v>
      </c>
    </row>
    <row r="39" spans="2:12" s="56" customFormat="1" ht="15.75" x14ac:dyDescent="0.25">
      <c r="B39" s="76" t="s">
        <v>59</v>
      </c>
      <c r="C39" s="77" t="s">
        <v>59</v>
      </c>
      <c r="D39" s="154" t="s">
        <v>59</v>
      </c>
      <c r="E39" s="78"/>
      <c r="F39" s="150" t="s">
        <v>100</v>
      </c>
      <c r="G39" s="80"/>
      <c r="H39" s="80"/>
      <c r="I39" s="80"/>
      <c r="J39" s="80"/>
      <c r="K39" s="81"/>
      <c r="L39" s="464">
        <f>'DPA SP 5 1'!N55</f>
        <v>35261800</v>
      </c>
    </row>
    <row r="40" spans="2:12" s="56" customFormat="1" ht="15.75" x14ac:dyDescent="0.25">
      <c r="B40" s="76" t="s">
        <v>59</v>
      </c>
      <c r="C40" s="77" t="s">
        <v>59</v>
      </c>
      <c r="D40" s="154" t="s">
        <v>101</v>
      </c>
      <c r="E40" s="78"/>
      <c r="F40" s="150" t="s">
        <v>102</v>
      </c>
      <c r="G40" s="80"/>
      <c r="H40" s="80"/>
      <c r="I40" s="80"/>
      <c r="J40" s="80"/>
      <c r="K40" s="81"/>
      <c r="L40" s="464">
        <f>'DPA SP 5 1'!N58</f>
        <v>61535400</v>
      </c>
    </row>
    <row r="41" spans="2:12" s="75" customFormat="1" ht="15.75" x14ac:dyDescent="0.25">
      <c r="B41" s="76"/>
      <c r="C41" s="77"/>
      <c r="D41" s="77"/>
      <c r="E41" s="78"/>
      <c r="F41" s="150"/>
      <c r="G41" s="80"/>
      <c r="H41" s="80"/>
      <c r="I41" s="80"/>
      <c r="J41" s="80"/>
      <c r="K41" s="81"/>
      <c r="L41" s="464"/>
    </row>
    <row r="42" spans="2:12" s="75" customFormat="1" ht="15.75" x14ac:dyDescent="0.25">
      <c r="B42" s="98" t="s">
        <v>59</v>
      </c>
      <c r="C42" s="94" t="s">
        <v>61</v>
      </c>
      <c r="D42" s="94"/>
      <c r="E42" s="95"/>
      <c r="F42" s="149" t="s">
        <v>103</v>
      </c>
      <c r="G42" s="91"/>
      <c r="H42" s="91"/>
      <c r="I42" s="91"/>
      <c r="J42" s="91"/>
      <c r="K42" s="92"/>
      <c r="L42" s="463">
        <f>L43</f>
        <v>7002000</v>
      </c>
    </row>
    <row r="43" spans="2:12" s="56" customFormat="1" ht="15.75" x14ac:dyDescent="0.25">
      <c r="B43" s="153" t="s">
        <v>59</v>
      </c>
      <c r="C43" s="154" t="s">
        <v>61</v>
      </c>
      <c r="D43" s="154" t="s">
        <v>53</v>
      </c>
      <c r="E43" s="78"/>
      <c r="F43" s="150" t="s">
        <v>96</v>
      </c>
      <c r="G43" s="80"/>
      <c r="H43" s="80"/>
      <c r="I43" s="80"/>
      <c r="J43" s="80"/>
      <c r="K43" s="81"/>
      <c r="L43" s="464">
        <f>'DPA SP 5 1'!N63</f>
        <v>7002000</v>
      </c>
    </row>
    <row r="44" spans="2:12" s="75" customFormat="1" ht="15.75" x14ac:dyDescent="0.25">
      <c r="B44" s="76"/>
      <c r="C44" s="77"/>
      <c r="D44" s="77"/>
      <c r="E44" s="78"/>
      <c r="F44" s="150"/>
      <c r="G44" s="80"/>
      <c r="H44" s="80"/>
      <c r="I44" s="80"/>
      <c r="J44" s="80"/>
      <c r="K44" s="81"/>
      <c r="L44" s="464"/>
    </row>
    <row r="45" spans="2:12" s="75" customFormat="1" ht="15.75" x14ac:dyDescent="0.25">
      <c r="B45" s="98" t="s">
        <v>59</v>
      </c>
      <c r="C45" s="94" t="s">
        <v>101</v>
      </c>
      <c r="D45" s="94"/>
      <c r="E45" s="95"/>
      <c r="F45" s="149" t="s">
        <v>104</v>
      </c>
      <c r="G45" s="91"/>
      <c r="H45" s="91"/>
      <c r="I45" s="91"/>
      <c r="J45" s="91"/>
      <c r="K45" s="92"/>
      <c r="L45" s="463">
        <f>SUM(L46:L48)</f>
        <v>36312800</v>
      </c>
    </row>
    <row r="46" spans="2:12" s="75" customFormat="1" ht="15.75" x14ac:dyDescent="0.25">
      <c r="B46" s="76" t="s">
        <v>59</v>
      </c>
      <c r="C46" s="77" t="s">
        <v>101</v>
      </c>
      <c r="D46" s="77" t="s">
        <v>50</v>
      </c>
      <c r="E46" s="78"/>
      <c r="F46" s="150" t="s">
        <v>96</v>
      </c>
      <c r="G46" s="80"/>
      <c r="H46" s="80"/>
      <c r="I46" s="80"/>
      <c r="J46" s="80"/>
      <c r="K46" s="81"/>
      <c r="L46" s="464">
        <f>'DPA SP 5 1'!N68</f>
        <v>11490000</v>
      </c>
    </row>
    <row r="47" spans="2:12" s="56" customFormat="1" ht="15.75" x14ac:dyDescent="0.25">
      <c r="B47" s="76" t="s">
        <v>59</v>
      </c>
      <c r="C47" s="77" t="s">
        <v>101</v>
      </c>
      <c r="D47" s="77" t="s">
        <v>53</v>
      </c>
      <c r="E47" s="78"/>
      <c r="F47" s="150" t="s">
        <v>105</v>
      </c>
      <c r="G47" s="80"/>
      <c r="H47" s="80"/>
      <c r="I47" s="80"/>
      <c r="J47" s="80"/>
      <c r="K47" s="81"/>
      <c r="L47" s="464">
        <f>'DPA SP 5 1'!N71</f>
        <v>13722800</v>
      </c>
    </row>
    <row r="48" spans="2:12" s="56" customFormat="1" ht="15.75" x14ac:dyDescent="0.25">
      <c r="B48" s="76" t="s">
        <v>59</v>
      </c>
      <c r="C48" s="77" t="s">
        <v>101</v>
      </c>
      <c r="D48" s="154" t="s">
        <v>59</v>
      </c>
      <c r="E48" s="78"/>
      <c r="F48" s="150" t="s">
        <v>106</v>
      </c>
      <c r="G48" s="80"/>
      <c r="H48" s="80"/>
      <c r="I48" s="80"/>
      <c r="J48" s="80"/>
      <c r="K48" s="81"/>
      <c r="L48" s="464">
        <f>'DPA SP 5 1'!N74</f>
        <v>11100000</v>
      </c>
    </row>
    <row r="49" spans="2:12" s="75" customFormat="1" ht="15.75" x14ac:dyDescent="0.25">
      <c r="B49" s="76"/>
      <c r="C49" s="77"/>
      <c r="D49" s="77"/>
      <c r="E49" s="78"/>
      <c r="F49" s="150"/>
      <c r="G49" s="80"/>
      <c r="H49" s="80"/>
      <c r="I49" s="80"/>
      <c r="J49" s="80"/>
      <c r="K49" s="81"/>
      <c r="L49" s="464"/>
    </row>
    <row r="50" spans="2:12" s="75" customFormat="1" ht="15.75" x14ac:dyDescent="0.25">
      <c r="B50" s="98" t="s">
        <v>59</v>
      </c>
      <c r="C50" s="94" t="s">
        <v>107</v>
      </c>
      <c r="D50" s="94"/>
      <c r="E50" s="95"/>
      <c r="F50" s="149" t="s">
        <v>108</v>
      </c>
      <c r="G50" s="91"/>
      <c r="H50" s="91"/>
      <c r="I50" s="91"/>
      <c r="J50" s="91"/>
      <c r="K50" s="92"/>
      <c r="L50" s="463">
        <f>L51</f>
        <v>2000000</v>
      </c>
    </row>
    <row r="51" spans="2:12" s="56" customFormat="1" ht="15.75" x14ac:dyDescent="0.25">
      <c r="B51" s="155" t="s">
        <v>59</v>
      </c>
      <c r="C51" s="156" t="s">
        <v>107</v>
      </c>
      <c r="D51" s="156" t="s">
        <v>53</v>
      </c>
      <c r="E51" s="157"/>
      <c r="F51" s="150" t="s">
        <v>109</v>
      </c>
      <c r="G51" s="158"/>
      <c r="H51" s="158"/>
      <c r="I51" s="158"/>
      <c r="J51" s="158"/>
      <c r="K51" s="159"/>
      <c r="L51" s="465">
        <f>'DPA SP 5 1'!N80</f>
        <v>2000000</v>
      </c>
    </row>
    <row r="52" spans="2:12" s="56" customFormat="1" ht="15.75" x14ac:dyDescent="0.25">
      <c r="B52" s="160"/>
      <c r="C52" s="161"/>
      <c r="D52" s="161"/>
      <c r="E52" s="157"/>
      <c r="F52" s="162"/>
      <c r="G52" s="158"/>
      <c r="H52" s="158"/>
      <c r="I52" s="158"/>
      <c r="J52" s="158"/>
      <c r="K52" s="159"/>
      <c r="L52" s="465"/>
    </row>
    <row r="53" spans="2:12" s="75" customFormat="1" ht="15.75" x14ac:dyDescent="0.25">
      <c r="B53" s="106"/>
      <c r="C53" s="107"/>
      <c r="D53" s="107"/>
      <c r="E53" s="108"/>
      <c r="F53" s="163" t="s">
        <v>87</v>
      </c>
      <c r="G53" s="141"/>
      <c r="H53" s="141"/>
      <c r="I53" s="141"/>
      <c r="J53" s="141"/>
      <c r="K53" s="164"/>
      <c r="L53" s="109">
        <f>L24+L28+L33+L36+L42+L45+L50</f>
        <v>229720000</v>
      </c>
    </row>
    <row r="54" spans="2:12" s="56" customFormat="1" ht="15.75" x14ac:dyDescent="0.25">
      <c r="B54" s="110"/>
      <c r="C54" s="111"/>
      <c r="D54" s="111"/>
      <c r="E54" s="111"/>
      <c r="F54" s="112"/>
      <c r="L54" s="57"/>
    </row>
    <row r="55" spans="2:12" s="56" customFormat="1" ht="15.75" x14ac:dyDescent="0.25">
      <c r="B55" s="110"/>
      <c r="D55" s="111"/>
      <c r="E55" s="113" t="s">
        <v>74</v>
      </c>
      <c r="F55" s="112"/>
      <c r="L55" s="57"/>
    </row>
    <row r="56" spans="2:12" s="56" customFormat="1" ht="15.75" x14ac:dyDescent="0.25">
      <c r="B56" s="110"/>
      <c r="D56" s="111"/>
      <c r="E56" s="113" t="s">
        <v>75</v>
      </c>
      <c r="F56" s="112"/>
      <c r="K56" s="113" t="s">
        <v>26</v>
      </c>
      <c r="L56" s="57"/>
    </row>
    <row r="57" spans="2:12" s="56" customFormat="1" ht="15.75" x14ac:dyDescent="0.25">
      <c r="B57" s="110"/>
      <c r="C57" s="114"/>
      <c r="D57" s="111"/>
      <c r="E57" s="111"/>
      <c r="F57" s="112"/>
      <c r="K57" s="114"/>
      <c r="L57" s="57"/>
    </row>
    <row r="58" spans="2:12" s="56" customFormat="1" ht="15.75" x14ac:dyDescent="0.25">
      <c r="B58" s="110"/>
      <c r="C58" s="114"/>
      <c r="D58" s="111"/>
      <c r="E58" s="111"/>
      <c r="F58" s="112"/>
      <c r="K58" s="114"/>
      <c r="L58" s="57"/>
    </row>
    <row r="59" spans="2:12" s="56" customFormat="1" ht="15.75" x14ac:dyDescent="0.25">
      <c r="B59" s="110"/>
      <c r="C59" s="113"/>
      <c r="D59" s="111"/>
      <c r="E59" s="111"/>
      <c r="F59" s="112"/>
      <c r="K59" s="113"/>
      <c r="L59" s="57"/>
    </row>
    <row r="60" spans="2:12" s="56" customFormat="1" ht="15.75" x14ac:dyDescent="0.25">
      <c r="B60" s="110"/>
      <c r="D60" s="111"/>
      <c r="E60" s="113" t="s">
        <v>27</v>
      </c>
      <c r="F60" s="112"/>
      <c r="K60" s="113" t="s">
        <v>28</v>
      </c>
      <c r="L60" s="57"/>
    </row>
    <row r="61" spans="2:12" s="56" customFormat="1" ht="15.75" x14ac:dyDescent="0.25">
      <c r="B61" s="110"/>
      <c r="C61" s="111"/>
      <c r="D61" s="111"/>
      <c r="E61" s="111"/>
      <c r="F61" s="112"/>
      <c r="K61" s="56" t="s">
        <v>76</v>
      </c>
      <c r="L61" s="57"/>
    </row>
    <row r="62" spans="2:12" s="56" customFormat="1" ht="15.75" x14ac:dyDescent="0.25">
      <c r="B62" s="145"/>
      <c r="C62" s="146"/>
      <c r="D62" s="146"/>
      <c r="E62" s="146"/>
      <c r="F62" s="147"/>
      <c r="G62" s="64"/>
      <c r="H62" s="64"/>
      <c r="I62" s="64"/>
      <c r="J62" s="64"/>
      <c r="K62" s="64"/>
      <c r="L62" s="65"/>
    </row>
  </sheetData>
  <mergeCells count="10">
    <mergeCell ref="B20:E20"/>
    <mergeCell ref="F20:K20"/>
    <mergeCell ref="B21:E21"/>
    <mergeCell ref="F21:K21"/>
    <mergeCell ref="L1:L6"/>
    <mergeCell ref="B8:L8"/>
    <mergeCell ref="B9:L9"/>
    <mergeCell ref="B10:L10"/>
    <mergeCell ref="B17:L17"/>
    <mergeCell ref="B18:L18"/>
  </mergeCells>
  <pageMargins left="0.95866141699999996" right="6.4960630000000005E-2" top="0.24803149599999999" bottom="0.14173228299999999" header="0.31496062992126" footer="0.31496062992126"/>
  <pageSetup paperSize="124" scale="95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D4176-FC69-497E-98D7-89F204F80A3A}">
  <dimension ref="A1:N93"/>
  <sheetViews>
    <sheetView showGridLines="0" topLeftCell="A44" workbookViewId="0">
      <selection activeCell="N85" sqref="N85"/>
    </sheetView>
  </sheetViews>
  <sheetFormatPr defaultColWidth="9.140625" defaultRowHeight="15" x14ac:dyDescent="0.25"/>
  <cols>
    <col min="1" max="1" width="2.42578125" style="4" customWidth="1"/>
    <col min="2" max="4" width="2.28515625" style="4" customWidth="1"/>
    <col min="5" max="5" width="2.7109375" style="4" customWidth="1"/>
    <col min="6" max="6" width="2.140625" style="4" bestFit="1" customWidth="1"/>
    <col min="7" max="7" width="3.28515625" style="4" bestFit="1" customWidth="1"/>
    <col min="8" max="8" width="9.140625" style="4"/>
    <col min="9" max="9" width="19.85546875" style="4" customWidth="1"/>
    <col min="10" max="10" width="8" style="4" customWidth="1"/>
    <col min="11" max="11" width="8.28515625" style="4" customWidth="1"/>
    <col min="12" max="12" width="8.140625" style="4" customWidth="1"/>
    <col min="13" max="13" width="15.42578125" style="4" customWidth="1"/>
    <col min="14" max="14" width="16.140625" style="4" customWidth="1"/>
    <col min="15" max="18" width="9.140625" style="4"/>
    <col min="19" max="19" width="12.7109375" style="4" bestFit="1" customWidth="1"/>
    <col min="20" max="16384" width="9.140625" style="4"/>
  </cols>
  <sheetData>
    <row r="1" spans="2:14" ht="15" customHeight="1" x14ac:dyDescent="0.25">
      <c r="B1" s="47"/>
      <c r="C1" s="48"/>
      <c r="D1" s="48"/>
      <c r="E1" s="48"/>
      <c r="F1" s="48"/>
      <c r="G1" s="48"/>
      <c r="H1" s="48"/>
      <c r="I1" s="48"/>
      <c r="J1" s="48"/>
      <c r="K1" s="48"/>
      <c r="L1" s="48"/>
      <c r="M1" s="49"/>
      <c r="N1" s="544" t="s">
        <v>110</v>
      </c>
    </row>
    <row r="2" spans="2:14" ht="15" customHeight="1" x14ac:dyDescent="0.25">
      <c r="B2" s="50"/>
      <c r="M2" s="51"/>
      <c r="N2" s="545"/>
    </row>
    <row r="3" spans="2:14" ht="15" customHeight="1" x14ac:dyDescent="0.25">
      <c r="B3" s="50"/>
      <c r="M3" s="51"/>
      <c r="N3" s="545"/>
    </row>
    <row r="4" spans="2:14" ht="15" customHeight="1" x14ac:dyDescent="0.25">
      <c r="B4" s="50"/>
      <c r="M4" s="51"/>
      <c r="N4" s="545"/>
    </row>
    <row r="5" spans="2:14" ht="15" customHeight="1" x14ac:dyDescent="0.25">
      <c r="B5" s="50"/>
      <c r="M5" s="51"/>
      <c r="N5" s="545"/>
    </row>
    <row r="6" spans="2:14" ht="15" customHeight="1" x14ac:dyDescent="0.25">
      <c r="B6" s="50"/>
      <c r="M6" s="51"/>
      <c r="N6" s="545"/>
    </row>
    <row r="7" spans="2:14" ht="9.75" customHeight="1" x14ac:dyDescent="0.25">
      <c r="B7" s="50"/>
      <c r="M7" s="115"/>
      <c r="N7" s="116"/>
    </row>
    <row r="8" spans="2:14" s="117" customFormat="1" ht="18.75" customHeight="1" x14ac:dyDescent="0.25">
      <c r="B8" s="546" t="s">
        <v>78</v>
      </c>
      <c r="C8" s="547"/>
      <c r="D8" s="547"/>
      <c r="E8" s="547"/>
      <c r="F8" s="547"/>
      <c r="G8" s="547"/>
      <c r="H8" s="547"/>
      <c r="I8" s="547"/>
      <c r="J8" s="547"/>
      <c r="K8" s="547"/>
      <c r="L8" s="547"/>
      <c r="M8" s="547"/>
      <c r="N8" s="548"/>
    </row>
    <row r="9" spans="2:14" s="117" customFormat="1" ht="18.75" customHeight="1" x14ac:dyDescent="0.25">
      <c r="B9" s="549" t="s">
        <v>1</v>
      </c>
      <c r="C9" s="550"/>
      <c r="D9" s="550"/>
      <c r="E9" s="550"/>
      <c r="F9" s="550"/>
      <c r="G9" s="550"/>
      <c r="H9" s="550"/>
      <c r="I9" s="550"/>
      <c r="J9" s="550"/>
      <c r="K9" s="550"/>
      <c r="L9" s="550"/>
      <c r="M9" s="550"/>
      <c r="N9" s="551"/>
    </row>
    <row r="10" spans="2:14" s="117" customFormat="1" ht="18.75" customHeight="1" x14ac:dyDescent="0.25">
      <c r="B10" s="552" t="s">
        <v>836</v>
      </c>
      <c r="C10" s="553"/>
      <c r="D10" s="553"/>
      <c r="E10" s="553"/>
      <c r="F10" s="553"/>
      <c r="G10" s="553"/>
      <c r="H10" s="553"/>
      <c r="I10" s="553"/>
      <c r="J10" s="553"/>
      <c r="K10" s="553"/>
      <c r="L10" s="553"/>
      <c r="M10" s="553"/>
      <c r="N10" s="554"/>
    </row>
    <row r="11" spans="2:14" s="56" customFormat="1" ht="9.75" customHeight="1" x14ac:dyDescent="0.25">
      <c r="B11" s="55"/>
      <c r="N11" s="57"/>
    </row>
    <row r="12" spans="2:14" s="56" customFormat="1" ht="15.75" x14ac:dyDescent="0.25">
      <c r="B12" s="58" t="s">
        <v>43</v>
      </c>
      <c r="J12" s="56" t="s">
        <v>44</v>
      </c>
      <c r="N12" s="57"/>
    </row>
    <row r="13" spans="2:14" s="56" customFormat="1" ht="8.25" customHeight="1" x14ac:dyDescent="0.25">
      <c r="B13" s="58"/>
      <c r="N13" s="57"/>
    </row>
    <row r="14" spans="2:14" s="56" customFormat="1" ht="15.75" x14ac:dyDescent="0.25">
      <c r="B14" s="58" t="s">
        <v>45</v>
      </c>
      <c r="J14" s="56" t="s">
        <v>46</v>
      </c>
      <c r="N14" s="57"/>
    </row>
    <row r="15" spans="2:14" s="56" customFormat="1" ht="6.75" customHeight="1" x14ac:dyDescent="0.25">
      <c r="B15" s="55"/>
      <c r="N15" s="57"/>
    </row>
    <row r="16" spans="2:14" s="56" customFormat="1" ht="7.5" customHeight="1" x14ac:dyDescent="0.25">
      <c r="B16" s="59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1"/>
    </row>
    <row r="17" spans="2:14" s="62" customFormat="1" ht="24.75" customHeight="1" x14ac:dyDescent="0.25">
      <c r="B17" s="534" t="s">
        <v>20</v>
      </c>
      <c r="C17" s="507"/>
      <c r="D17" s="507"/>
      <c r="E17" s="507"/>
      <c r="F17" s="507"/>
      <c r="G17" s="507"/>
      <c r="H17" s="507"/>
      <c r="I17" s="507"/>
      <c r="J17" s="507"/>
      <c r="K17" s="507"/>
      <c r="L17" s="507"/>
      <c r="M17" s="507"/>
      <c r="N17" s="535"/>
    </row>
    <row r="18" spans="2:14" s="62" customFormat="1" ht="24.75" customHeight="1" x14ac:dyDescent="0.25">
      <c r="B18" s="534" t="s">
        <v>838</v>
      </c>
      <c r="C18" s="507"/>
      <c r="D18" s="507"/>
      <c r="E18" s="507"/>
      <c r="F18" s="507"/>
      <c r="G18" s="507"/>
      <c r="H18" s="507"/>
      <c r="I18" s="507"/>
      <c r="J18" s="507"/>
      <c r="K18" s="507"/>
      <c r="L18" s="507"/>
      <c r="M18" s="507"/>
      <c r="N18" s="535"/>
    </row>
    <row r="19" spans="2:14" s="56" customFormat="1" ht="7.5" customHeight="1" x14ac:dyDescent="0.25">
      <c r="B19" s="63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5"/>
    </row>
    <row r="20" spans="2:14" s="62" customFormat="1" ht="34.5" customHeight="1" x14ac:dyDescent="0.25">
      <c r="B20" s="538" t="s">
        <v>47</v>
      </c>
      <c r="C20" s="539"/>
      <c r="D20" s="539"/>
      <c r="E20" s="539"/>
      <c r="F20" s="539"/>
      <c r="G20" s="539"/>
      <c r="H20" s="538" t="s">
        <v>48</v>
      </c>
      <c r="I20" s="539"/>
      <c r="J20" s="539"/>
      <c r="K20" s="539"/>
      <c r="L20" s="539"/>
      <c r="M20" s="540"/>
      <c r="N20" s="118" t="s">
        <v>49</v>
      </c>
    </row>
    <row r="21" spans="2:14" s="56" customFormat="1" ht="15.75" x14ac:dyDescent="0.25">
      <c r="B21" s="538">
        <v>1</v>
      </c>
      <c r="C21" s="539"/>
      <c r="D21" s="539"/>
      <c r="E21" s="539"/>
      <c r="F21" s="539"/>
      <c r="G21" s="539"/>
      <c r="H21" s="541">
        <v>2</v>
      </c>
      <c r="I21" s="542"/>
      <c r="J21" s="542"/>
      <c r="K21" s="542"/>
      <c r="L21" s="542"/>
      <c r="M21" s="543"/>
      <c r="N21" s="67">
        <v>7</v>
      </c>
    </row>
    <row r="22" spans="2:14" s="75" customFormat="1" ht="15.75" x14ac:dyDescent="0.25">
      <c r="B22" s="98" t="s">
        <v>59</v>
      </c>
      <c r="C22" s="94"/>
      <c r="D22" s="94"/>
      <c r="E22" s="94"/>
      <c r="F22" s="94"/>
      <c r="G22" s="94"/>
      <c r="H22" s="148" t="s">
        <v>111</v>
      </c>
      <c r="I22" s="91"/>
      <c r="J22" s="91"/>
      <c r="K22" s="91"/>
      <c r="L22" s="91"/>
      <c r="M22" s="92"/>
      <c r="N22" s="165">
        <f>N23+N32+N43+N48+N62+N67+N79+N28</f>
        <v>231000000</v>
      </c>
    </row>
    <row r="23" spans="2:14" s="75" customFormat="1" ht="15.75" x14ac:dyDescent="0.25">
      <c r="B23" s="98" t="s">
        <v>59</v>
      </c>
      <c r="C23" s="94" t="s">
        <v>50</v>
      </c>
      <c r="D23" s="94"/>
      <c r="E23" s="94"/>
      <c r="F23" s="94"/>
      <c r="G23" s="94"/>
      <c r="H23" s="149" t="s">
        <v>90</v>
      </c>
      <c r="I23" s="91"/>
      <c r="J23" s="91"/>
      <c r="K23" s="91"/>
      <c r="L23" s="91"/>
      <c r="M23" s="92"/>
      <c r="N23" s="165">
        <f>N24</f>
        <v>8083000</v>
      </c>
    </row>
    <row r="24" spans="2:14" s="75" customFormat="1" ht="15.75" x14ac:dyDescent="0.25">
      <c r="B24" s="98"/>
      <c r="C24" s="94"/>
      <c r="D24" s="94"/>
      <c r="E24" s="94"/>
      <c r="F24" s="94"/>
      <c r="G24" s="94"/>
      <c r="H24" s="150" t="s">
        <v>716</v>
      </c>
      <c r="I24" s="91"/>
      <c r="J24" s="91"/>
      <c r="K24" s="91"/>
      <c r="L24" s="91"/>
      <c r="M24" s="92"/>
      <c r="N24" s="165">
        <f>'5.1.2'!W42</f>
        <v>8083000</v>
      </c>
    </row>
    <row r="25" spans="2:14" s="75" customFormat="1" ht="15.75" x14ac:dyDescent="0.25">
      <c r="B25" s="98"/>
      <c r="C25" s="94"/>
      <c r="D25" s="94"/>
      <c r="E25" s="94"/>
      <c r="F25" s="94"/>
      <c r="G25" s="94"/>
      <c r="H25" s="149"/>
      <c r="I25" s="91"/>
      <c r="J25" s="91"/>
      <c r="K25" s="91"/>
      <c r="L25" s="91"/>
      <c r="M25" s="92"/>
      <c r="N25" s="165"/>
    </row>
    <row r="26" spans="2:14" s="75" customFormat="1" ht="15.75" x14ac:dyDescent="0.25">
      <c r="B26" s="98"/>
      <c r="C26" s="94"/>
      <c r="D26" s="94"/>
      <c r="E26" s="94"/>
      <c r="F26" s="94"/>
      <c r="G26" s="94"/>
      <c r="H26" s="149"/>
      <c r="I26" s="91"/>
      <c r="J26" s="91"/>
      <c r="K26" s="91"/>
      <c r="L26" s="91"/>
      <c r="M26" s="92"/>
      <c r="N26" s="165"/>
    </row>
    <row r="27" spans="2:14" s="56" customFormat="1" ht="15.75" x14ac:dyDescent="0.25">
      <c r="B27" s="76"/>
      <c r="C27" s="77"/>
      <c r="D27" s="77"/>
      <c r="E27" s="77"/>
      <c r="F27" s="77"/>
      <c r="G27" s="77"/>
      <c r="I27" s="80"/>
      <c r="J27" s="80"/>
      <c r="K27" s="80"/>
      <c r="L27" s="80"/>
      <c r="M27" s="81"/>
      <c r="N27" s="166"/>
    </row>
    <row r="28" spans="2:14" s="75" customFormat="1" ht="15.75" x14ac:dyDescent="0.25">
      <c r="B28" s="98" t="s">
        <v>59</v>
      </c>
      <c r="C28" s="94" t="s">
        <v>53</v>
      </c>
      <c r="D28" s="94"/>
      <c r="E28" s="94"/>
      <c r="F28" s="94"/>
      <c r="G28" s="94"/>
      <c r="H28" s="149" t="s">
        <v>92</v>
      </c>
      <c r="I28" s="91"/>
      <c r="J28" s="91"/>
      <c r="K28" s="91"/>
      <c r="L28" s="91"/>
      <c r="M28" s="92"/>
      <c r="N28" s="165">
        <f>N29+N30</f>
        <v>1280000</v>
      </c>
    </row>
    <row r="29" spans="2:14" s="75" customFormat="1" ht="15.75" x14ac:dyDescent="0.25">
      <c r="B29" s="98" t="s">
        <v>59</v>
      </c>
      <c r="C29" s="94" t="s">
        <v>53</v>
      </c>
      <c r="D29" s="94" t="s">
        <v>50</v>
      </c>
      <c r="E29" s="94"/>
      <c r="F29" s="94"/>
      <c r="G29" s="94"/>
      <c r="H29" s="475" t="s">
        <v>64</v>
      </c>
      <c r="I29" s="476"/>
      <c r="J29" s="91"/>
      <c r="K29" s="91"/>
      <c r="L29" s="91"/>
      <c r="M29" s="92"/>
      <c r="N29" s="487">
        <f>'5.2.1'!W37</f>
        <v>480000</v>
      </c>
    </row>
    <row r="30" spans="2:14" s="75" customFormat="1" ht="15.75" x14ac:dyDescent="0.25">
      <c r="B30" s="76" t="s">
        <v>59</v>
      </c>
      <c r="C30" s="77" t="s">
        <v>53</v>
      </c>
      <c r="D30" s="77" t="s">
        <v>50</v>
      </c>
      <c r="E30" s="77"/>
      <c r="F30" s="77"/>
      <c r="G30" s="77"/>
      <c r="H30" s="475" t="s">
        <v>68</v>
      </c>
      <c r="I30" s="476"/>
      <c r="J30" s="80"/>
      <c r="K30" s="80"/>
      <c r="L30" s="80"/>
      <c r="M30" s="81"/>
      <c r="N30" s="166">
        <f>'5.2.1'!W45</f>
        <v>800000</v>
      </c>
    </row>
    <row r="31" spans="2:14" s="75" customFormat="1" ht="15.75" x14ac:dyDescent="0.25">
      <c r="B31" s="76"/>
      <c r="C31" s="77"/>
      <c r="D31" s="77"/>
      <c r="E31" s="77"/>
      <c r="F31" s="77"/>
      <c r="G31" s="77"/>
      <c r="H31" s="475"/>
      <c r="I31" s="476"/>
      <c r="J31" s="80"/>
      <c r="K31" s="80"/>
      <c r="L31" s="80"/>
      <c r="M31" s="81"/>
      <c r="N31" s="166"/>
    </row>
    <row r="32" spans="2:14" s="75" customFormat="1" ht="15.75" x14ac:dyDescent="0.25">
      <c r="B32" s="467" t="s">
        <v>59</v>
      </c>
      <c r="C32" s="468" t="s">
        <v>55</v>
      </c>
      <c r="D32" s="468"/>
      <c r="E32" s="468"/>
      <c r="F32" s="468"/>
      <c r="G32" s="468"/>
      <c r="H32" s="469" t="s">
        <v>93</v>
      </c>
      <c r="I32" s="470"/>
      <c r="J32" s="470"/>
      <c r="K32" s="470"/>
      <c r="L32" s="470"/>
      <c r="M32" s="471"/>
      <c r="N32" s="472">
        <f>N33+N36+N39</f>
        <v>51855000</v>
      </c>
    </row>
    <row r="33" spans="1:14" s="75" customFormat="1" ht="15.75" x14ac:dyDescent="0.25">
      <c r="B33" s="473" t="s">
        <v>59</v>
      </c>
      <c r="C33" s="474" t="s">
        <v>55</v>
      </c>
      <c r="D33" s="474" t="s">
        <v>50</v>
      </c>
      <c r="E33" s="474"/>
      <c r="F33" s="474"/>
      <c r="G33" s="474"/>
      <c r="H33" s="475" t="s">
        <v>94</v>
      </c>
      <c r="I33" s="476"/>
      <c r="J33" s="476"/>
      <c r="K33" s="476"/>
      <c r="L33" s="476"/>
      <c r="M33" s="477"/>
      <c r="N33" s="478">
        <f>+N34</f>
        <v>3755000</v>
      </c>
    </row>
    <row r="34" spans="1:14" s="75" customFormat="1" ht="15.75" x14ac:dyDescent="0.25">
      <c r="B34" s="473" t="s">
        <v>59</v>
      </c>
      <c r="C34" s="474" t="s">
        <v>55</v>
      </c>
      <c r="D34" s="474" t="s">
        <v>50</v>
      </c>
      <c r="E34" s="474" t="s">
        <v>59</v>
      </c>
      <c r="F34" s="474" t="s">
        <v>50</v>
      </c>
      <c r="G34" s="474"/>
      <c r="H34" s="475" t="s">
        <v>64</v>
      </c>
      <c r="I34" s="476"/>
      <c r="J34" s="476"/>
      <c r="K34" s="476"/>
      <c r="L34" s="476"/>
      <c r="M34" s="477"/>
      <c r="N34" s="478">
        <f>+N35</f>
        <v>3755000</v>
      </c>
    </row>
    <row r="35" spans="1:14" s="75" customFormat="1" ht="15.75" x14ac:dyDescent="0.25">
      <c r="B35" s="473" t="s">
        <v>59</v>
      </c>
      <c r="C35" s="474" t="s">
        <v>55</v>
      </c>
      <c r="D35" s="474" t="s">
        <v>50</v>
      </c>
      <c r="E35" s="474" t="s">
        <v>59</v>
      </c>
      <c r="F35" s="474" t="s">
        <v>50</v>
      </c>
      <c r="G35" s="474" t="s">
        <v>67</v>
      </c>
      <c r="H35" s="475" t="s">
        <v>68</v>
      </c>
      <c r="I35" s="476"/>
      <c r="J35" s="476"/>
      <c r="K35" s="476"/>
      <c r="L35" s="476"/>
      <c r="M35" s="477"/>
      <c r="N35" s="478">
        <f>'5.3.1'!W59</f>
        <v>3755000</v>
      </c>
    </row>
    <row r="36" spans="1:14" s="75" customFormat="1" ht="15.75" x14ac:dyDescent="0.25">
      <c r="B36" s="473" t="s">
        <v>59</v>
      </c>
      <c r="C36" s="474" t="s">
        <v>55</v>
      </c>
      <c r="D36" s="474" t="s">
        <v>53</v>
      </c>
      <c r="E36" s="474"/>
      <c r="F36" s="474"/>
      <c r="G36" s="474"/>
      <c r="H36" s="475" t="s">
        <v>95</v>
      </c>
      <c r="I36" s="476"/>
      <c r="J36" s="476"/>
      <c r="K36" s="476"/>
      <c r="L36" s="476"/>
      <c r="M36" s="477"/>
      <c r="N36" s="479">
        <f>N37</f>
        <v>1080000</v>
      </c>
    </row>
    <row r="37" spans="1:14" s="75" customFormat="1" ht="15.75" x14ac:dyDescent="0.25">
      <c r="B37" s="473" t="s">
        <v>59</v>
      </c>
      <c r="C37" s="474" t="s">
        <v>55</v>
      </c>
      <c r="D37" s="480" t="s">
        <v>53</v>
      </c>
      <c r="E37" s="474" t="s">
        <v>59</v>
      </c>
      <c r="F37" s="474" t="s">
        <v>50</v>
      </c>
      <c r="G37" s="474"/>
      <c r="H37" s="475" t="s">
        <v>64</v>
      </c>
      <c r="I37" s="476"/>
      <c r="J37" s="476"/>
      <c r="K37" s="476"/>
      <c r="L37" s="476"/>
      <c r="M37" s="477"/>
      <c r="N37" s="479">
        <f>N38</f>
        <v>1080000</v>
      </c>
    </row>
    <row r="38" spans="1:14" s="75" customFormat="1" ht="15.75" x14ac:dyDescent="0.25">
      <c r="B38" s="473" t="s">
        <v>59</v>
      </c>
      <c r="C38" s="474" t="s">
        <v>55</v>
      </c>
      <c r="D38" s="480" t="s">
        <v>53</v>
      </c>
      <c r="E38" s="474" t="s">
        <v>59</v>
      </c>
      <c r="F38" s="474" t="s">
        <v>50</v>
      </c>
      <c r="G38" s="474" t="s">
        <v>67</v>
      </c>
      <c r="H38" s="475" t="s">
        <v>68</v>
      </c>
      <c r="I38" s="476"/>
      <c r="J38" s="476"/>
      <c r="K38" s="476"/>
      <c r="L38" s="476"/>
      <c r="M38" s="477"/>
      <c r="N38" s="479">
        <f>'5.3.2'!W39</f>
        <v>1080000</v>
      </c>
    </row>
    <row r="39" spans="1:14" s="75" customFormat="1" ht="15.75" x14ac:dyDescent="0.25">
      <c r="B39" s="473" t="s">
        <v>59</v>
      </c>
      <c r="C39" s="474" t="s">
        <v>55</v>
      </c>
      <c r="D39" s="480" t="s">
        <v>55</v>
      </c>
      <c r="E39" s="474"/>
      <c r="F39" s="474"/>
      <c r="G39" s="474"/>
      <c r="H39" s="475" t="s">
        <v>91</v>
      </c>
      <c r="I39" s="476"/>
      <c r="J39" s="476"/>
      <c r="K39" s="476"/>
      <c r="L39" s="476"/>
      <c r="M39" s="477"/>
      <c r="N39" s="479">
        <f>N40</f>
        <v>47020000</v>
      </c>
    </row>
    <row r="40" spans="1:14" s="75" customFormat="1" ht="15.75" x14ac:dyDescent="0.25">
      <c r="B40" s="473" t="s">
        <v>59</v>
      </c>
      <c r="C40" s="474" t="s">
        <v>55</v>
      </c>
      <c r="D40" s="480" t="s">
        <v>55</v>
      </c>
      <c r="E40" s="474" t="s">
        <v>59</v>
      </c>
      <c r="F40" s="474" t="s">
        <v>50</v>
      </c>
      <c r="G40" s="474"/>
      <c r="H40" s="475" t="s">
        <v>64</v>
      </c>
      <c r="I40" s="476"/>
      <c r="J40" s="476"/>
      <c r="K40" s="476"/>
      <c r="L40" s="476"/>
      <c r="M40" s="477"/>
      <c r="N40" s="479">
        <f>N41</f>
        <v>47020000</v>
      </c>
    </row>
    <row r="41" spans="1:14" s="75" customFormat="1" ht="15.75" x14ac:dyDescent="0.25">
      <c r="B41" s="473" t="s">
        <v>59</v>
      </c>
      <c r="C41" s="474" t="s">
        <v>55</v>
      </c>
      <c r="D41" s="480" t="s">
        <v>55</v>
      </c>
      <c r="E41" s="474" t="s">
        <v>59</v>
      </c>
      <c r="F41" s="474" t="s">
        <v>50</v>
      </c>
      <c r="G41" s="474" t="s">
        <v>67</v>
      </c>
      <c r="H41" s="475" t="s">
        <v>68</v>
      </c>
      <c r="I41" s="476"/>
      <c r="J41" s="476"/>
      <c r="K41" s="476"/>
      <c r="L41" s="476"/>
      <c r="M41" s="477"/>
      <c r="N41" s="479">
        <f>'5.3.3'!W41</f>
        <v>47020000</v>
      </c>
    </row>
    <row r="42" spans="1:14" s="75" customFormat="1" ht="15.75" x14ac:dyDescent="0.25">
      <c r="B42" s="76"/>
      <c r="C42" s="77"/>
      <c r="D42" s="77"/>
      <c r="E42" s="77"/>
      <c r="F42" s="77"/>
      <c r="G42" s="77"/>
      <c r="H42" s="150"/>
      <c r="I42" s="80"/>
      <c r="J42" s="80"/>
      <c r="K42" s="80"/>
      <c r="L42" s="80"/>
      <c r="M42" s="81"/>
      <c r="N42" s="166"/>
    </row>
    <row r="43" spans="1:14" s="75" customFormat="1" ht="15.75" x14ac:dyDescent="0.25">
      <c r="B43" s="467" t="s">
        <v>59</v>
      </c>
      <c r="C43" s="468" t="s">
        <v>57</v>
      </c>
      <c r="D43" s="468"/>
      <c r="E43" s="468"/>
      <c r="F43" s="468"/>
      <c r="G43" s="468"/>
      <c r="H43" s="469" t="s">
        <v>97</v>
      </c>
      <c r="I43" s="470"/>
      <c r="J43" s="470"/>
      <c r="K43" s="470"/>
      <c r="L43" s="470"/>
      <c r="M43" s="471"/>
      <c r="N43" s="472">
        <f>N44</f>
        <v>10420000</v>
      </c>
    </row>
    <row r="44" spans="1:14" s="75" customFormat="1" ht="15.75" x14ac:dyDescent="0.25">
      <c r="B44" s="473" t="s">
        <v>59</v>
      </c>
      <c r="C44" s="474" t="s">
        <v>57</v>
      </c>
      <c r="D44" s="480" t="s">
        <v>53</v>
      </c>
      <c r="E44" s="474"/>
      <c r="F44" s="474"/>
      <c r="G44" s="474"/>
      <c r="H44" s="475" t="s">
        <v>98</v>
      </c>
      <c r="I44" s="476"/>
      <c r="J44" s="476"/>
      <c r="K44" s="476"/>
      <c r="L44" s="476"/>
      <c r="M44" s="477"/>
      <c r="N44" s="478">
        <f>+N45</f>
        <v>10420000</v>
      </c>
    </row>
    <row r="45" spans="1:14" s="75" customFormat="1" ht="15.75" x14ac:dyDescent="0.25">
      <c r="B45" s="473" t="s">
        <v>59</v>
      </c>
      <c r="C45" s="474" t="s">
        <v>57</v>
      </c>
      <c r="D45" s="480" t="s">
        <v>53</v>
      </c>
      <c r="E45" s="474" t="s">
        <v>59</v>
      </c>
      <c r="F45" s="474" t="s">
        <v>50</v>
      </c>
      <c r="G45" s="474"/>
      <c r="H45" s="475" t="s">
        <v>64</v>
      </c>
      <c r="I45" s="476"/>
      <c r="J45" s="476"/>
      <c r="K45" s="476"/>
      <c r="L45" s="476"/>
      <c r="M45" s="477"/>
      <c r="N45" s="478">
        <f>+N46</f>
        <v>10420000</v>
      </c>
    </row>
    <row r="46" spans="1:14" s="75" customFormat="1" ht="15.75" x14ac:dyDescent="0.25">
      <c r="B46" s="473" t="s">
        <v>59</v>
      </c>
      <c r="C46" s="474" t="s">
        <v>57</v>
      </c>
      <c r="D46" s="480" t="s">
        <v>53</v>
      </c>
      <c r="E46" s="474" t="s">
        <v>59</v>
      </c>
      <c r="F46" s="474" t="s">
        <v>50</v>
      </c>
      <c r="G46" s="474" t="s">
        <v>67</v>
      </c>
      <c r="H46" s="475" t="s">
        <v>68</v>
      </c>
      <c r="I46" s="476"/>
      <c r="J46" s="476"/>
      <c r="K46" s="476"/>
      <c r="L46" s="476"/>
      <c r="M46" s="477"/>
      <c r="N46" s="478">
        <f>'5.4.2'!W39</f>
        <v>10420000</v>
      </c>
    </row>
    <row r="47" spans="1:14" s="75" customFormat="1" ht="15.75" x14ac:dyDescent="0.25">
      <c r="B47" s="76"/>
      <c r="C47" s="77"/>
      <c r="D47" s="77"/>
      <c r="E47" s="77"/>
      <c r="F47" s="77"/>
      <c r="G47" s="77"/>
      <c r="H47" s="150"/>
      <c r="I47" s="80"/>
      <c r="J47" s="80"/>
      <c r="K47" s="80"/>
      <c r="L47" s="80"/>
      <c r="M47" s="81"/>
      <c r="N47" s="166"/>
    </row>
    <row r="48" spans="1:14" s="75" customFormat="1" ht="15.75" x14ac:dyDescent="0.25">
      <c r="A48" s="481"/>
      <c r="B48" s="467" t="s">
        <v>59</v>
      </c>
      <c r="C48" s="468" t="s">
        <v>59</v>
      </c>
      <c r="D48" s="468"/>
      <c r="E48" s="468"/>
      <c r="F48" s="468"/>
      <c r="G48" s="468"/>
      <c r="H48" s="469" t="s">
        <v>99</v>
      </c>
      <c r="I48" s="470"/>
      <c r="J48" s="470"/>
      <c r="K48" s="470"/>
      <c r="L48" s="470"/>
      <c r="M48" s="471"/>
      <c r="N48" s="482">
        <f>N49+N52+N55+N58</f>
        <v>114047200</v>
      </c>
    </row>
    <row r="49" spans="1:14" s="75" customFormat="1" ht="15.75" x14ac:dyDescent="0.25">
      <c r="A49" s="481"/>
      <c r="B49" s="473" t="s">
        <v>59</v>
      </c>
      <c r="C49" s="474" t="s">
        <v>59</v>
      </c>
      <c r="D49" s="474" t="s">
        <v>50</v>
      </c>
      <c r="E49" s="474"/>
      <c r="F49" s="474"/>
      <c r="G49" s="474"/>
      <c r="H49" s="475" t="s">
        <v>95</v>
      </c>
      <c r="I49" s="476"/>
      <c r="J49" s="476"/>
      <c r="K49" s="476"/>
      <c r="L49" s="476"/>
      <c r="M49" s="477"/>
      <c r="N49" s="479">
        <f>N50</f>
        <v>15750000</v>
      </c>
    </row>
    <row r="50" spans="1:14" s="75" customFormat="1" ht="15.75" x14ac:dyDescent="0.25">
      <c r="A50" s="481"/>
      <c r="B50" s="473" t="s">
        <v>59</v>
      </c>
      <c r="C50" s="474" t="s">
        <v>59</v>
      </c>
      <c r="D50" s="474" t="s">
        <v>50</v>
      </c>
      <c r="E50" s="474" t="s">
        <v>59</v>
      </c>
      <c r="F50" s="480" t="s">
        <v>53</v>
      </c>
      <c r="G50" s="474"/>
      <c r="H50" s="475" t="s">
        <v>69</v>
      </c>
      <c r="I50" s="476"/>
      <c r="J50" s="476"/>
      <c r="K50" s="476"/>
      <c r="L50" s="476"/>
      <c r="M50" s="477"/>
      <c r="N50" s="479">
        <f>+N51</f>
        <v>15750000</v>
      </c>
    </row>
    <row r="51" spans="1:14" s="75" customFormat="1" ht="15.75" x14ac:dyDescent="0.25">
      <c r="A51" s="481"/>
      <c r="B51" s="473" t="s">
        <v>59</v>
      </c>
      <c r="C51" s="474" t="s">
        <v>59</v>
      </c>
      <c r="D51" s="474" t="s">
        <v>50</v>
      </c>
      <c r="E51" s="474" t="s">
        <v>59</v>
      </c>
      <c r="F51" s="480" t="s">
        <v>53</v>
      </c>
      <c r="G51" s="480" t="s">
        <v>71</v>
      </c>
      <c r="H51" s="475" t="s">
        <v>72</v>
      </c>
      <c r="I51" s="476"/>
      <c r="J51" s="476"/>
      <c r="K51" s="476"/>
      <c r="L51" s="476"/>
      <c r="M51" s="477"/>
      <c r="N51" s="479">
        <f>'5.5.1'!W39</f>
        <v>15750000</v>
      </c>
    </row>
    <row r="52" spans="1:14" s="75" customFormat="1" ht="15.75" x14ac:dyDescent="0.25">
      <c r="A52" s="481"/>
      <c r="B52" s="473" t="s">
        <v>59</v>
      </c>
      <c r="C52" s="474" t="s">
        <v>59</v>
      </c>
      <c r="D52" s="480" t="s">
        <v>55</v>
      </c>
      <c r="E52" s="474"/>
      <c r="F52" s="474"/>
      <c r="G52" s="474"/>
      <c r="H52" s="475" t="s">
        <v>96</v>
      </c>
      <c r="I52" s="476"/>
      <c r="J52" s="476"/>
      <c r="K52" s="476"/>
      <c r="L52" s="476"/>
      <c r="M52" s="477"/>
      <c r="N52" s="479">
        <f>N53</f>
        <v>1500000</v>
      </c>
    </row>
    <row r="53" spans="1:14" s="75" customFormat="1" ht="15.75" x14ac:dyDescent="0.25">
      <c r="A53" s="481"/>
      <c r="B53" s="473" t="s">
        <v>59</v>
      </c>
      <c r="C53" s="474" t="s">
        <v>59</v>
      </c>
      <c r="D53" s="480" t="s">
        <v>55</v>
      </c>
      <c r="E53" s="474" t="s">
        <v>59</v>
      </c>
      <c r="F53" s="474" t="s">
        <v>50</v>
      </c>
      <c r="G53" s="474"/>
      <c r="H53" s="475" t="s">
        <v>64</v>
      </c>
      <c r="I53" s="476"/>
      <c r="J53" s="476"/>
      <c r="K53" s="476"/>
      <c r="L53" s="476"/>
      <c r="M53" s="477"/>
      <c r="N53" s="479">
        <f>N54</f>
        <v>1500000</v>
      </c>
    </row>
    <row r="54" spans="1:14" s="75" customFormat="1" ht="15.75" x14ac:dyDescent="0.25">
      <c r="A54" s="481"/>
      <c r="B54" s="473" t="s">
        <v>59</v>
      </c>
      <c r="C54" s="474" t="s">
        <v>59</v>
      </c>
      <c r="D54" s="480" t="s">
        <v>55</v>
      </c>
      <c r="E54" s="474" t="s">
        <v>59</v>
      </c>
      <c r="F54" s="474" t="s">
        <v>50</v>
      </c>
      <c r="G54" s="474" t="s">
        <v>67</v>
      </c>
      <c r="H54" s="475" t="s">
        <v>68</v>
      </c>
      <c r="I54" s="476"/>
      <c r="J54" s="476"/>
      <c r="K54" s="476"/>
      <c r="L54" s="476"/>
      <c r="M54" s="477"/>
      <c r="N54" s="479">
        <f>'5.5.3'!W39</f>
        <v>1500000</v>
      </c>
    </row>
    <row r="55" spans="1:14" s="75" customFormat="1" ht="15.75" x14ac:dyDescent="0.25">
      <c r="A55" s="481"/>
      <c r="B55" s="473" t="s">
        <v>59</v>
      </c>
      <c r="C55" s="474" t="s">
        <v>59</v>
      </c>
      <c r="D55" s="480" t="s">
        <v>59</v>
      </c>
      <c r="E55" s="474"/>
      <c r="F55" s="474"/>
      <c r="G55" s="474"/>
      <c r="H55" s="475" t="s">
        <v>100</v>
      </c>
      <c r="I55" s="476"/>
      <c r="J55" s="476"/>
      <c r="K55" s="476"/>
      <c r="L55" s="476"/>
      <c r="M55" s="477"/>
      <c r="N55" s="479">
        <f>N56</f>
        <v>35261800</v>
      </c>
    </row>
    <row r="56" spans="1:14" s="75" customFormat="1" ht="15.75" x14ac:dyDescent="0.25">
      <c r="A56" s="481"/>
      <c r="B56" s="473" t="s">
        <v>59</v>
      </c>
      <c r="C56" s="474" t="s">
        <v>59</v>
      </c>
      <c r="D56" s="480" t="s">
        <v>59</v>
      </c>
      <c r="E56" s="474" t="s">
        <v>59</v>
      </c>
      <c r="F56" s="474" t="s">
        <v>50</v>
      </c>
      <c r="G56" s="474"/>
      <c r="H56" s="475" t="s">
        <v>64</v>
      </c>
      <c r="I56" s="476"/>
      <c r="J56" s="476"/>
      <c r="K56" s="476"/>
      <c r="L56" s="476"/>
      <c r="M56" s="477"/>
      <c r="N56" s="479">
        <f>N57</f>
        <v>35261800</v>
      </c>
    </row>
    <row r="57" spans="1:14" s="75" customFormat="1" ht="15.75" x14ac:dyDescent="0.25">
      <c r="A57" s="481"/>
      <c r="B57" s="473" t="s">
        <v>59</v>
      </c>
      <c r="C57" s="474" t="s">
        <v>59</v>
      </c>
      <c r="D57" s="480" t="s">
        <v>59</v>
      </c>
      <c r="E57" s="474" t="s">
        <v>59</v>
      </c>
      <c r="F57" s="474" t="s">
        <v>50</v>
      </c>
      <c r="G57" s="474" t="s">
        <v>67</v>
      </c>
      <c r="H57" s="475" t="s">
        <v>68</v>
      </c>
      <c r="I57" s="476"/>
      <c r="J57" s="476"/>
      <c r="K57" s="476"/>
      <c r="L57" s="476"/>
      <c r="M57" s="477"/>
      <c r="N57" s="479">
        <f>'5.5.5'!W41</f>
        <v>35261800</v>
      </c>
    </row>
    <row r="58" spans="1:14" s="75" customFormat="1" ht="15.75" x14ac:dyDescent="0.25">
      <c r="A58" s="481"/>
      <c r="B58" s="473" t="s">
        <v>59</v>
      </c>
      <c r="C58" s="474" t="s">
        <v>59</v>
      </c>
      <c r="D58" s="480" t="s">
        <v>101</v>
      </c>
      <c r="E58" s="474"/>
      <c r="F58" s="474"/>
      <c r="G58" s="474"/>
      <c r="H58" s="475" t="s">
        <v>102</v>
      </c>
      <c r="I58" s="476"/>
      <c r="J58" s="476"/>
      <c r="K58" s="476"/>
      <c r="L58" s="476"/>
      <c r="M58" s="477"/>
      <c r="N58" s="479">
        <f>N59</f>
        <v>61535400</v>
      </c>
    </row>
    <row r="59" spans="1:14" s="75" customFormat="1" ht="15.75" x14ac:dyDescent="0.25">
      <c r="A59" s="481"/>
      <c r="B59" s="473" t="s">
        <v>59</v>
      </c>
      <c r="C59" s="474" t="s">
        <v>59</v>
      </c>
      <c r="D59" s="480" t="s">
        <v>101</v>
      </c>
      <c r="E59" s="474" t="s">
        <v>59</v>
      </c>
      <c r="F59" s="480" t="s">
        <v>53</v>
      </c>
      <c r="G59" s="474"/>
      <c r="H59" s="475" t="s">
        <v>69</v>
      </c>
      <c r="I59" s="476"/>
      <c r="J59" s="476"/>
      <c r="K59" s="476"/>
      <c r="L59" s="476"/>
      <c r="M59" s="477"/>
      <c r="N59" s="479">
        <f>+N60</f>
        <v>61535400</v>
      </c>
    </row>
    <row r="60" spans="1:14" s="75" customFormat="1" ht="15.75" x14ac:dyDescent="0.25">
      <c r="A60" s="481"/>
      <c r="B60" s="473" t="s">
        <v>59</v>
      </c>
      <c r="C60" s="474" t="s">
        <v>59</v>
      </c>
      <c r="D60" s="480" t="s">
        <v>101</v>
      </c>
      <c r="E60" s="474" t="s">
        <v>59</v>
      </c>
      <c r="F60" s="480" t="s">
        <v>53</v>
      </c>
      <c r="G60" s="480" t="s">
        <v>67</v>
      </c>
      <c r="H60" s="475" t="s">
        <v>70</v>
      </c>
      <c r="I60" s="476"/>
      <c r="J60" s="476"/>
      <c r="K60" s="476"/>
      <c r="L60" s="476"/>
      <c r="M60" s="477"/>
      <c r="N60" s="479">
        <f>'5.5.7'!W39</f>
        <v>61535400</v>
      </c>
    </row>
    <row r="61" spans="1:14" s="75" customFormat="1" ht="15.75" x14ac:dyDescent="0.25">
      <c r="B61" s="76"/>
      <c r="C61" s="77"/>
      <c r="D61" s="77"/>
      <c r="E61" s="77"/>
      <c r="F61" s="154"/>
      <c r="G61" s="154"/>
      <c r="H61" s="150"/>
      <c r="I61" s="80"/>
      <c r="J61" s="80"/>
      <c r="K61" s="80"/>
      <c r="L61" s="80"/>
      <c r="M61" s="81"/>
      <c r="N61" s="166"/>
    </row>
    <row r="62" spans="1:14" s="75" customFormat="1" ht="15.75" x14ac:dyDescent="0.25">
      <c r="A62" s="481"/>
      <c r="B62" s="467" t="s">
        <v>59</v>
      </c>
      <c r="C62" s="468" t="s">
        <v>61</v>
      </c>
      <c r="D62" s="468"/>
      <c r="E62" s="468"/>
      <c r="F62" s="468"/>
      <c r="G62" s="468"/>
      <c r="H62" s="469" t="s">
        <v>103</v>
      </c>
      <c r="I62" s="470"/>
      <c r="J62" s="470"/>
      <c r="K62" s="470"/>
      <c r="L62" s="470"/>
      <c r="M62" s="471"/>
      <c r="N62" s="472">
        <f>N63</f>
        <v>7002000</v>
      </c>
    </row>
    <row r="63" spans="1:14" s="75" customFormat="1" ht="15.75" x14ac:dyDescent="0.25">
      <c r="A63" s="481"/>
      <c r="B63" s="473" t="s">
        <v>59</v>
      </c>
      <c r="C63" s="480" t="s">
        <v>61</v>
      </c>
      <c r="D63" s="480" t="s">
        <v>53</v>
      </c>
      <c r="E63" s="468"/>
      <c r="F63" s="468"/>
      <c r="G63" s="468"/>
      <c r="H63" s="475" t="s">
        <v>96</v>
      </c>
      <c r="I63" s="470"/>
      <c r="J63" s="470"/>
      <c r="K63" s="470"/>
      <c r="L63" s="470"/>
      <c r="M63" s="471"/>
      <c r="N63" s="472">
        <f>N64</f>
        <v>7002000</v>
      </c>
    </row>
    <row r="64" spans="1:14" s="75" customFormat="1" ht="15.75" x14ac:dyDescent="0.25">
      <c r="A64" s="481"/>
      <c r="B64" s="473" t="s">
        <v>59</v>
      </c>
      <c r="C64" s="480" t="s">
        <v>61</v>
      </c>
      <c r="D64" s="480" t="s">
        <v>53</v>
      </c>
      <c r="E64" s="474" t="s">
        <v>59</v>
      </c>
      <c r="F64" s="474" t="s">
        <v>50</v>
      </c>
      <c r="G64" s="474"/>
      <c r="H64" s="475" t="s">
        <v>64</v>
      </c>
      <c r="I64" s="476"/>
      <c r="J64" s="476"/>
      <c r="K64" s="476"/>
      <c r="L64" s="476"/>
      <c r="M64" s="477"/>
      <c r="N64" s="479">
        <f>N65</f>
        <v>7002000</v>
      </c>
    </row>
    <row r="65" spans="1:14" s="75" customFormat="1" ht="15.75" x14ac:dyDescent="0.25">
      <c r="A65" s="481"/>
      <c r="B65" s="473" t="s">
        <v>59</v>
      </c>
      <c r="C65" s="480" t="s">
        <v>61</v>
      </c>
      <c r="D65" s="480" t="s">
        <v>53</v>
      </c>
      <c r="E65" s="474" t="s">
        <v>59</v>
      </c>
      <c r="F65" s="474" t="s">
        <v>50</v>
      </c>
      <c r="G65" s="474" t="s">
        <v>67</v>
      </c>
      <c r="H65" s="475" t="s">
        <v>68</v>
      </c>
      <c r="I65" s="476"/>
      <c r="J65" s="476"/>
      <c r="K65" s="476"/>
      <c r="L65" s="476"/>
      <c r="M65" s="477"/>
      <c r="N65" s="479">
        <f>'5.6.2'!W39</f>
        <v>7002000</v>
      </c>
    </row>
    <row r="66" spans="1:14" s="75" customFormat="1" ht="15.75" x14ac:dyDescent="0.25">
      <c r="B66" s="76"/>
      <c r="C66" s="77"/>
      <c r="D66" s="77"/>
      <c r="E66" s="77"/>
      <c r="F66" s="77"/>
      <c r="G66" s="77"/>
      <c r="H66" s="150"/>
      <c r="I66" s="80"/>
      <c r="J66" s="80"/>
      <c r="K66" s="80"/>
      <c r="L66" s="80"/>
      <c r="M66" s="81"/>
      <c r="N66" s="166"/>
    </row>
    <row r="67" spans="1:14" s="75" customFormat="1" ht="15.75" x14ac:dyDescent="0.25">
      <c r="A67" s="481"/>
      <c r="B67" s="467" t="s">
        <v>59</v>
      </c>
      <c r="C67" s="468" t="s">
        <v>101</v>
      </c>
      <c r="D67" s="468"/>
      <c r="E67" s="468"/>
      <c r="F67" s="468"/>
      <c r="G67" s="468"/>
      <c r="H67" s="469" t="s">
        <v>104</v>
      </c>
      <c r="I67" s="470"/>
      <c r="J67" s="470"/>
      <c r="K67" s="470"/>
      <c r="L67" s="470"/>
      <c r="M67" s="471"/>
      <c r="N67" s="482">
        <f>N68+N71+N74</f>
        <v>36312800</v>
      </c>
    </row>
    <row r="68" spans="1:14" s="75" customFormat="1" ht="15.75" x14ac:dyDescent="0.25">
      <c r="A68" s="481"/>
      <c r="B68" s="473" t="s">
        <v>59</v>
      </c>
      <c r="C68" s="474" t="s">
        <v>101</v>
      </c>
      <c r="D68" s="474" t="s">
        <v>50</v>
      </c>
      <c r="E68" s="474"/>
      <c r="F68" s="474"/>
      <c r="G68" s="474"/>
      <c r="H68" s="475" t="s">
        <v>96</v>
      </c>
      <c r="I68" s="476"/>
      <c r="J68" s="476"/>
      <c r="K68" s="476"/>
      <c r="L68" s="476"/>
      <c r="M68" s="477"/>
      <c r="N68" s="479">
        <f>N69</f>
        <v>11490000</v>
      </c>
    </row>
    <row r="69" spans="1:14" s="75" customFormat="1" ht="15.75" x14ac:dyDescent="0.25">
      <c r="A69" s="481"/>
      <c r="B69" s="473" t="s">
        <v>59</v>
      </c>
      <c r="C69" s="474" t="s">
        <v>101</v>
      </c>
      <c r="D69" s="474" t="s">
        <v>50</v>
      </c>
      <c r="E69" s="474" t="s">
        <v>59</v>
      </c>
      <c r="F69" s="474" t="s">
        <v>50</v>
      </c>
      <c r="G69" s="474"/>
      <c r="H69" s="475" t="s">
        <v>64</v>
      </c>
      <c r="I69" s="476"/>
      <c r="J69" s="476"/>
      <c r="K69" s="476"/>
      <c r="L69" s="476"/>
      <c r="M69" s="477"/>
      <c r="N69" s="479">
        <f>N70</f>
        <v>11490000</v>
      </c>
    </row>
    <row r="70" spans="1:14" s="75" customFormat="1" ht="15.75" x14ac:dyDescent="0.25">
      <c r="A70" s="481"/>
      <c r="B70" s="473" t="s">
        <v>59</v>
      </c>
      <c r="C70" s="474" t="s">
        <v>101</v>
      </c>
      <c r="D70" s="474" t="s">
        <v>50</v>
      </c>
      <c r="E70" s="474" t="s">
        <v>59</v>
      </c>
      <c r="F70" s="474" t="s">
        <v>50</v>
      </c>
      <c r="G70" s="474" t="s">
        <v>67</v>
      </c>
      <c r="H70" s="475" t="s">
        <v>68</v>
      </c>
      <c r="I70" s="476"/>
      <c r="J70" s="476"/>
      <c r="K70" s="476"/>
      <c r="L70" s="476"/>
      <c r="M70" s="477"/>
      <c r="N70" s="479">
        <f>'5.7.1'!W39</f>
        <v>11490000</v>
      </c>
    </row>
    <row r="71" spans="1:14" s="56" customFormat="1" ht="15.75" x14ac:dyDescent="0.25">
      <c r="A71" s="483"/>
      <c r="B71" s="473" t="s">
        <v>59</v>
      </c>
      <c r="C71" s="474" t="s">
        <v>101</v>
      </c>
      <c r="D71" s="474" t="s">
        <v>53</v>
      </c>
      <c r="E71" s="474"/>
      <c r="F71" s="474"/>
      <c r="G71" s="474"/>
      <c r="H71" s="475" t="s">
        <v>105</v>
      </c>
      <c r="I71" s="476"/>
      <c r="J71" s="476"/>
      <c r="K71" s="476"/>
      <c r="L71" s="476"/>
      <c r="M71" s="477"/>
      <c r="N71" s="479">
        <f>N72</f>
        <v>13722800</v>
      </c>
    </row>
    <row r="72" spans="1:14" s="75" customFormat="1" ht="15.75" x14ac:dyDescent="0.25">
      <c r="A72" s="481"/>
      <c r="B72" s="473" t="s">
        <v>59</v>
      </c>
      <c r="C72" s="474" t="s">
        <v>101</v>
      </c>
      <c r="D72" s="480" t="s">
        <v>53</v>
      </c>
      <c r="E72" s="474" t="s">
        <v>59</v>
      </c>
      <c r="F72" s="474" t="s">
        <v>50</v>
      </c>
      <c r="G72" s="474"/>
      <c r="H72" s="475" t="s">
        <v>64</v>
      </c>
      <c r="I72" s="476"/>
      <c r="J72" s="476"/>
      <c r="K72" s="476"/>
      <c r="L72" s="476"/>
      <c r="M72" s="477"/>
      <c r="N72" s="479">
        <f>N73</f>
        <v>13722800</v>
      </c>
    </row>
    <row r="73" spans="1:14" s="75" customFormat="1" ht="15.75" x14ac:dyDescent="0.25">
      <c r="A73" s="481"/>
      <c r="B73" s="473" t="s">
        <v>59</v>
      </c>
      <c r="C73" s="474" t="s">
        <v>101</v>
      </c>
      <c r="D73" s="480" t="s">
        <v>53</v>
      </c>
      <c r="E73" s="474" t="s">
        <v>59</v>
      </c>
      <c r="F73" s="474" t="s">
        <v>50</v>
      </c>
      <c r="G73" s="474" t="s">
        <v>67</v>
      </c>
      <c r="H73" s="475" t="s">
        <v>68</v>
      </c>
      <c r="I73" s="476"/>
      <c r="J73" s="476"/>
      <c r="K73" s="476"/>
      <c r="L73" s="476"/>
      <c r="M73" s="477"/>
      <c r="N73" s="479">
        <f>'5.7.2'!W39</f>
        <v>13722800</v>
      </c>
    </row>
    <row r="74" spans="1:14" s="56" customFormat="1" ht="15.75" x14ac:dyDescent="0.25">
      <c r="A74" s="483"/>
      <c r="B74" s="473" t="s">
        <v>59</v>
      </c>
      <c r="C74" s="474" t="s">
        <v>101</v>
      </c>
      <c r="D74" s="480" t="s">
        <v>59</v>
      </c>
      <c r="E74" s="474"/>
      <c r="F74" s="474"/>
      <c r="G74" s="474"/>
      <c r="H74" s="475" t="s">
        <v>106</v>
      </c>
      <c r="I74" s="476"/>
      <c r="J74" s="476"/>
      <c r="K74" s="476"/>
      <c r="L74" s="476"/>
      <c r="M74" s="477"/>
      <c r="N74" s="479">
        <f>N75</f>
        <v>11100000</v>
      </c>
    </row>
    <row r="75" spans="1:14" s="75" customFormat="1" ht="15.75" x14ac:dyDescent="0.25">
      <c r="A75" s="481"/>
      <c r="B75" s="473" t="s">
        <v>59</v>
      </c>
      <c r="C75" s="474" t="s">
        <v>101</v>
      </c>
      <c r="D75" s="480" t="s">
        <v>59</v>
      </c>
      <c r="E75" s="474" t="s">
        <v>59</v>
      </c>
      <c r="F75" s="474" t="s">
        <v>50</v>
      </c>
      <c r="G75" s="474"/>
      <c r="H75" s="475" t="s">
        <v>64</v>
      </c>
      <c r="I75" s="476"/>
      <c r="J75" s="476"/>
      <c r="K75" s="476"/>
      <c r="L75" s="476"/>
      <c r="M75" s="477"/>
      <c r="N75" s="479">
        <f>SUM(N76:N77)</f>
        <v>11100000</v>
      </c>
    </row>
    <row r="76" spans="1:14" s="75" customFormat="1" ht="15.75" x14ac:dyDescent="0.25">
      <c r="A76" s="481"/>
      <c r="B76" s="473" t="s">
        <v>59</v>
      </c>
      <c r="C76" s="474" t="s">
        <v>101</v>
      </c>
      <c r="D76" s="480" t="s">
        <v>59</v>
      </c>
      <c r="E76" s="474" t="s">
        <v>59</v>
      </c>
      <c r="F76" s="474" t="s">
        <v>50</v>
      </c>
      <c r="G76" s="480" t="s">
        <v>65</v>
      </c>
      <c r="H76" s="475" t="s">
        <v>112</v>
      </c>
      <c r="I76" s="476"/>
      <c r="J76" s="476"/>
      <c r="K76" s="476"/>
      <c r="L76" s="476"/>
      <c r="M76" s="477"/>
      <c r="N76" s="479">
        <f>'5.7.5'!W39</f>
        <v>4200000</v>
      </c>
    </row>
    <row r="77" spans="1:14" s="75" customFormat="1" ht="15.75" x14ac:dyDescent="0.25">
      <c r="A77" s="481"/>
      <c r="B77" s="473" t="s">
        <v>59</v>
      </c>
      <c r="C77" s="474" t="s">
        <v>101</v>
      </c>
      <c r="D77" s="480" t="s">
        <v>59</v>
      </c>
      <c r="E77" s="474" t="s">
        <v>59</v>
      </c>
      <c r="F77" s="474" t="s">
        <v>50</v>
      </c>
      <c r="G77" s="474" t="s">
        <v>67</v>
      </c>
      <c r="H77" s="475" t="s">
        <v>68</v>
      </c>
      <c r="I77" s="476"/>
      <c r="J77" s="476"/>
      <c r="K77" s="476"/>
      <c r="L77" s="476"/>
      <c r="M77" s="477"/>
      <c r="N77" s="479">
        <f>'5.7.5'!W48</f>
        <v>6900000</v>
      </c>
    </row>
    <row r="78" spans="1:14" s="75" customFormat="1" ht="15.75" x14ac:dyDescent="0.25">
      <c r="B78" s="76"/>
      <c r="C78" s="77"/>
      <c r="D78" s="77"/>
      <c r="E78" s="77"/>
      <c r="F78" s="77"/>
      <c r="G78" s="77"/>
      <c r="H78" s="150"/>
      <c r="I78" s="80"/>
      <c r="J78" s="80"/>
      <c r="K78" s="80"/>
      <c r="L78" s="80"/>
      <c r="M78" s="81"/>
      <c r="N78" s="166"/>
    </row>
    <row r="79" spans="1:14" s="75" customFormat="1" ht="15.75" x14ac:dyDescent="0.25">
      <c r="A79" s="481"/>
      <c r="B79" s="467" t="s">
        <v>59</v>
      </c>
      <c r="C79" s="468" t="s">
        <v>107</v>
      </c>
      <c r="D79" s="468"/>
      <c r="E79" s="468"/>
      <c r="F79" s="468"/>
      <c r="G79" s="468"/>
      <c r="H79" s="469" t="s">
        <v>108</v>
      </c>
      <c r="I79" s="470"/>
      <c r="J79" s="470"/>
      <c r="K79" s="470"/>
      <c r="L79" s="470"/>
      <c r="M79" s="471"/>
      <c r="N79" s="472">
        <f>N80</f>
        <v>2000000</v>
      </c>
    </row>
    <row r="80" spans="1:14" s="75" customFormat="1" ht="15.75" x14ac:dyDescent="0.25">
      <c r="A80" s="481"/>
      <c r="B80" s="473" t="s">
        <v>59</v>
      </c>
      <c r="C80" s="480" t="s">
        <v>107</v>
      </c>
      <c r="D80" s="474" t="s">
        <v>53</v>
      </c>
      <c r="E80" s="474"/>
      <c r="F80" s="474"/>
      <c r="G80" s="474"/>
      <c r="H80" s="475" t="s">
        <v>109</v>
      </c>
      <c r="I80" s="476"/>
      <c r="J80" s="476"/>
      <c r="K80" s="476"/>
      <c r="L80" s="476"/>
      <c r="M80" s="477"/>
      <c r="N80" s="479">
        <f>N81</f>
        <v>2000000</v>
      </c>
    </row>
    <row r="81" spans="1:14" s="75" customFormat="1" ht="15.75" x14ac:dyDescent="0.25">
      <c r="A81" s="481"/>
      <c r="B81" s="473" t="s">
        <v>59</v>
      </c>
      <c r="C81" s="480" t="s">
        <v>107</v>
      </c>
      <c r="D81" s="480" t="s">
        <v>53</v>
      </c>
      <c r="E81" s="474" t="s">
        <v>59</v>
      </c>
      <c r="F81" s="474" t="s">
        <v>50</v>
      </c>
      <c r="G81" s="474"/>
      <c r="H81" s="475" t="s">
        <v>64</v>
      </c>
      <c r="I81" s="476"/>
      <c r="J81" s="476"/>
      <c r="K81" s="476"/>
      <c r="L81" s="476"/>
      <c r="M81" s="477"/>
      <c r="N81" s="479">
        <f>N82</f>
        <v>2000000</v>
      </c>
    </row>
    <row r="82" spans="1:14" s="75" customFormat="1" ht="15.75" x14ac:dyDescent="0.25">
      <c r="A82" s="481"/>
      <c r="B82" s="473" t="s">
        <v>59</v>
      </c>
      <c r="C82" s="480" t="s">
        <v>107</v>
      </c>
      <c r="D82" s="480" t="s">
        <v>53</v>
      </c>
      <c r="E82" s="474" t="s">
        <v>59</v>
      </c>
      <c r="F82" s="474" t="s">
        <v>50</v>
      </c>
      <c r="G82" s="474" t="s">
        <v>67</v>
      </c>
      <c r="H82" s="475" t="s">
        <v>68</v>
      </c>
      <c r="I82" s="476"/>
      <c r="J82" s="476"/>
      <c r="K82" s="476"/>
      <c r="L82" s="476"/>
      <c r="M82" s="477"/>
      <c r="N82" s="479">
        <f>'5.8'!W51</f>
        <v>2000000</v>
      </c>
    </row>
    <row r="83" spans="1:14" s="56" customFormat="1" ht="15.75" x14ac:dyDescent="0.25">
      <c r="B83" s="160"/>
      <c r="C83" s="161"/>
      <c r="D83" s="161"/>
      <c r="E83" s="161"/>
      <c r="F83" s="161"/>
      <c r="G83" s="161"/>
      <c r="H83" s="162"/>
      <c r="I83" s="158"/>
      <c r="J83" s="158"/>
      <c r="K83" s="158"/>
      <c r="L83" s="158"/>
      <c r="M83" s="159"/>
      <c r="N83" s="167"/>
    </row>
    <row r="84" spans="1:14" s="75" customFormat="1" ht="15.75" x14ac:dyDescent="0.25">
      <c r="B84" s="106"/>
      <c r="C84" s="107"/>
      <c r="D84" s="107"/>
      <c r="E84" s="107"/>
      <c r="F84" s="107"/>
      <c r="G84" s="107"/>
      <c r="H84" s="163" t="s">
        <v>87</v>
      </c>
      <c r="I84" s="141"/>
      <c r="J84" s="141"/>
      <c r="K84" s="141"/>
      <c r="L84" s="141"/>
      <c r="M84" s="164"/>
      <c r="N84" s="168">
        <f>N23+N28+N32+N43+N48+N62+N67+N79</f>
        <v>231000000</v>
      </c>
    </row>
    <row r="85" spans="1:14" s="56" customFormat="1" ht="15.75" x14ac:dyDescent="0.25">
      <c r="B85" s="110"/>
      <c r="C85" s="111"/>
      <c r="D85" s="111"/>
      <c r="E85" s="111"/>
      <c r="F85" s="111"/>
      <c r="G85" s="111"/>
      <c r="H85" s="112"/>
      <c r="N85" s="57"/>
    </row>
    <row r="86" spans="1:14" s="56" customFormat="1" ht="15.75" x14ac:dyDescent="0.25">
      <c r="B86" s="110"/>
      <c r="D86" s="111"/>
      <c r="E86" s="113" t="s">
        <v>74</v>
      </c>
      <c r="F86" s="111"/>
      <c r="G86" s="111"/>
      <c r="H86" s="112"/>
      <c r="N86" s="57"/>
    </row>
    <row r="87" spans="1:14" s="56" customFormat="1" ht="15.75" x14ac:dyDescent="0.25">
      <c r="B87" s="110"/>
      <c r="D87" s="111"/>
      <c r="E87" s="113" t="s">
        <v>75</v>
      </c>
      <c r="F87" s="111"/>
      <c r="G87" s="111"/>
      <c r="H87" s="112"/>
      <c r="L87" s="113" t="s">
        <v>26</v>
      </c>
      <c r="N87" s="57"/>
    </row>
    <row r="88" spans="1:14" s="56" customFormat="1" ht="15.75" x14ac:dyDescent="0.25">
      <c r="B88" s="110"/>
      <c r="C88" s="114"/>
      <c r="D88" s="111"/>
      <c r="E88" s="111"/>
      <c r="F88" s="111"/>
      <c r="G88" s="111"/>
      <c r="H88" s="112"/>
      <c r="L88" s="114"/>
      <c r="N88" s="57"/>
    </row>
    <row r="89" spans="1:14" s="56" customFormat="1" ht="15.75" x14ac:dyDescent="0.25">
      <c r="B89" s="110"/>
      <c r="C89" s="114"/>
      <c r="D89" s="111"/>
      <c r="E89" s="111"/>
      <c r="F89" s="111"/>
      <c r="G89" s="111"/>
      <c r="H89" s="112"/>
      <c r="L89" s="114"/>
      <c r="N89" s="57"/>
    </row>
    <row r="90" spans="1:14" s="56" customFormat="1" ht="15.75" x14ac:dyDescent="0.25">
      <c r="B90" s="110"/>
      <c r="C90" s="113"/>
      <c r="D90" s="111"/>
      <c r="E90" s="111"/>
      <c r="F90" s="111"/>
      <c r="G90" s="111"/>
      <c r="H90" s="112"/>
      <c r="L90" s="113"/>
      <c r="N90" s="57"/>
    </row>
    <row r="91" spans="1:14" s="56" customFormat="1" ht="15.75" x14ac:dyDescent="0.25">
      <c r="B91" s="110"/>
      <c r="D91" s="111"/>
      <c r="E91" s="113" t="s">
        <v>27</v>
      </c>
      <c r="F91" s="111"/>
      <c r="G91" s="111"/>
      <c r="H91" s="112"/>
      <c r="L91" s="113" t="s">
        <v>28</v>
      </c>
      <c r="N91" s="57"/>
    </row>
    <row r="92" spans="1:14" s="56" customFormat="1" ht="15.75" x14ac:dyDescent="0.25">
      <c r="B92" s="110"/>
      <c r="C92" s="111"/>
      <c r="D92" s="111"/>
      <c r="E92" s="111"/>
      <c r="F92" s="111"/>
      <c r="G92" s="111"/>
      <c r="H92" s="112"/>
      <c r="L92" s="56" t="s">
        <v>76</v>
      </c>
      <c r="N92" s="57"/>
    </row>
    <row r="93" spans="1:14" s="56" customFormat="1" ht="15.75" x14ac:dyDescent="0.25">
      <c r="B93" s="145"/>
      <c r="C93" s="146"/>
      <c r="D93" s="146"/>
      <c r="E93" s="146"/>
      <c r="F93" s="146"/>
      <c r="G93" s="146"/>
      <c r="H93" s="147"/>
      <c r="I93" s="64"/>
      <c r="J93" s="64"/>
      <c r="K93" s="64"/>
      <c r="L93" s="64"/>
      <c r="M93" s="64"/>
      <c r="N93" s="65"/>
    </row>
  </sheetData>
  <mergeCells count="10">
    <mergeCell ref="B20:G20"/>
    <mergeCell ref="H20:M20"/>
    <mergeCell ref="B21:G21"/>
    <mergeCell ref="H21:M21"/>
    <mergeCell ref="N1:N6"/>
    <mergeCell ref="B8:N8"/>
    <mergeCell ref="B9:N9"/>
    <mergeCell ref="B10:N10"/>
    <mergeCell ref="B17:N17"/>
    <mergeCell ref="B18:N18"/>
  </mergeCells>
  <pageMargins left="0.70866141732283505" right="0.25" top="0.74803149606299202" bottom="1.14173228346457" header="0.31496062992126" footer="0.31496062992126"/>
  <pageSetup paperSize="124" scale="95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AD0D5-0E91-4A1B-98B5-54E5E230C82F}">
  <sheetPr>
    <pageSetUpPr fitToPage="1"/>
  </sheetPr>
  <dimension ref="A1:AY95"/>
  <sheetViews>
    <sheetView showGridLines="0" tabSelected="1" topLeftCell="F38" zoomScale="70" zoomScaleNormal="70" zoomScaleSheetLayoutView="70" zoomScalePageLayoutView="40" workbookViewId="0">
      <selection activeCell="W42" sqref="W42"/>
    </sheetView>
  </sheetViews>
  <sheetFormatPr defaultColWidth="9.140625" defaultRowHeight="12.75" x14ac:dyDescent="0.2"/>
  <cols>
    <col min="1" max="6" width="3.7109375" style="415" customWidth="1"/>
    <col min="7" max="7" width="5.85546875" style="415" bestFit="1" customWidth="1"/>
    <col min="8" max="8" width="3.7109375" style="415" customWidth="1"/>
    <col min="9" max="9" width="2" style="176" customWidth="1"/>
    <col min="10" max="10" width="3.140625" style="176" customWidth="1"/>
    <col min="11" max="11" width="37.140625" style="176" customWidth="1"/>
    <col min="12" max="12" width="4.140625" style="416" customWidth="1"/>
    <col min="13" max="15" width="4" style="415" customWidth="1"/>
    <col min="16" max="16" width="6.5703125" style="415" bestFit="1" customWidth="1"/>
    <col min="17" max="18" width="4" style="415" customWidth="1"/>
    <col min="19" max="19" width="6.7109375" style="415" bestFit="1" customWidth="1"/>
    <col min="20" max="20" width="8.5703125" style="415" customWidth="1"/>
    <col min="21" max="21" width="11.28515625" style="176" customWidth="1"/>
    <col min="22" max="22" width="12.140625" style="176" customWidth="1"/>
    <col min="23" max="23" width="13.7109375" style="176" customWidth="1"/>
    <col min="24" max="24" width="9.5703125" style="176" customWidth="1"/>
    <col min="25" max="25" width="11.7109375" style="175" customWidth="1"/>
    <col min="26" max="26" width="11.85546875" style="175" customWidth="1"/>
    <col min="27" max="27" width="11.42578125" style="175" customWidth="1"/>
    <col min="28" max="28" width="11.5703125" style="175" customWidth="1"/>
    <col min="29" max="29" width="12" style="175" customWidth="1"/>
    <col min="30" max="30" width="11.42578125" style="175" customWidth="1"/>
    <col min="31" max="31" width="11.85546875" style="175" customWidth="1"/>
    <col min="32" max="32" width="11.5703125" style="175" customWidth="1"/>
    <col min="33" max="33" width="11.85546875" style="175" customWidth="1"/>
    <col min="34" max="34" width="11.42578125" style="175" customWidth="1"/>
    <col min="35" max="35" width="10.7109375" style="175" customWidth="1"/>
    <col min="36" max="36" width="11.5703125" style="175" customWidth="1"/>
    <col min="37" max="37" width="11.5703125" style="176" customWidth="1"/>
    <col min="38" max="50" width="9.140625" style="176"/>
    <col min="51" max="51" width="10.28515625" style="176" bestFit="1" customWidth="1"/>
    <col min="52" max="16384" width="9.140625" style="176"/>
  </cols>
  <sheetData>
    <row r="1" spans="1:36" ht="14.25" customHeight="1" x14ac:dyDescent="0.2">
      <c r="A1" s="169"/>
      <c r="B1" s="170"/>
      <c r="C1" s="170"/>
      <c r="D1" s="170"/>
      <c r="E1" s="170"/>
      <c r="F1" s="170"/>
      <c r="G1" s="170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2"/>
      <c r="U1" s="171"/>
      <c r="V1" s="173"/>
      <c r="W1" s="171"/>
      <c r="X1" s="174"/>
    </row>
    <row r="2" spans="1:36" ht="18.75" customHeight="1" x14ac:dyDescent="0.4">
      <c r="A2" s="177"/>
      <c r="B2" s="178"/>
      <c r="C2" s="178"/>
      <c r="D2" s="178"/>
      <c r="E2" s="178"/>
      <c r="F2" s="178"/>
      <c r="G2" s="178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80"/>
      <c r="U2" s="179"/>
      <c r="V2" s="181"/>
      <c r="W2" s="179"/>
      <c r="X2" s="182"/>
    </row>
    <row r="3" spans="1:36" ht="24.75" customHeight="1" x14ac:dyDescent="0.2">
      <c r="A3" s="183"/>
      <c r="B3" s="184"/>
      <c r="C3" s="184"/>
      <c r="D3" s="184"/>
      <c r="E3" s="184"/>
      <c r="F3" s="184"/>
      <c r="G3" s="184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6"/>
      <c r="U3" s="185"/>
      <c r="V3" s="562" t="s">
        <v>21</v>
      </c>
      <c r="W3" s="563"/>
      <c r="X3" s="564"/>
    </row>
    <row r="4" spans="1:36" ht="32.25" customHeight="1" thickBot="1" x14ac:dyDescent="0.25">
      <c r="A4" s="187"/>
      <c r="B4" s="188"/>
      <c r="C4" s="188"/>
      <c r="D4" s="188"/>
      <c r="E4" s="188"/>
      <c r="F4" s="188"/>
      <c r="G4" s="188"/>
      <c r="H4" s="189"/>
      <c r="I4" s="189"/>
      <c r="J4" s="189"/>
      <c r="K4" s="190"/>
      <c r="L4" s="189"/>
      <c r="M4" s="189"/>
      <c r="N4" s="189"/>
      <c r="O4" s="189"/>
      <c r="P4" s="189"/>
      <c r="Q4" s="189"/>
      <c r="R4" s="189"/>
      <c r="S4" s="189"/>
      <c r="T4" s="190"/>
      <c r="U4" s="189"/>
      <c r="V4" s="191"/>
      <c r="W4" s="192">
        <v>1</v>
      </c>
      <c r="X4" s="193"/>
    </row>
    <row r="5" spans="1:36" ht="21" customHeight="1" x14ac:dyDescent="0.2">
      <c r="A5" s="565" t="s">
        <v>1</v>
      </c>
      <c r="B5" s="566"/>
      <c r="C5" s="566"/>
      <c r="D5" s="566"/>
      <c r="E5" s="566"/>
      <c r="F5" s="566"/>
      <c r="G5" s="566"/>
      <c r="H5" s="566"/>
      <c r="I5" s="566"/>
      <c r="J5" s="566"/>
      <c r="K5" s="566"/>
      <c r="L5" s="566"/>
      <c r="M5" s="566"/>
      <c r="N5" s="566"/>
      <c r="O5" s="566"/>
      <c r="P5" s="566"/>
      <c r="Q5" s="566"/>
      <c r="R5" s="566"/>
      <c r="S5" s="566"/>
      <c r="T5" s="566"/>
      <c r="U5" s="566"/>
      <c r="V5" s="566"/>
      <c r="W5" s="566"/>
      <c r="X5" s="567"/>
    </row>
    <row r="6" spans="1:36" ht="21" customHeight="1" x14ac:dyDescent="0.2">
      <c r="A6" s="568" t="s">
        <v>836</v>
      </c>
      <c r="B6" s="569"/>
      <c r="C6" s="569"/>
      <c r="D6" s="569"/>
      <c r="E6" s="569"/>
      <c r="F6" s="569"/>
      <c r="G6" s="569"/>
      <c r="H6" s="569"/>
      <c r="I6" s="569"/>
      <c r="J6" s="569"/>
      <c r="K6" s="569"/>
      <c r="L6" s="569"/>
      <c r="M6" s="569"/>
      <c r="N6" s="569"/>
      <c r="O6" s="569"/>
      <c r="P6" s="569"/>
      <c r="Q6" s="569"/>
      <c r="R6" s="569"/>
      <c r="S6" s="569"/>
      <c r="T6" s="569"/>
      <c r="U6" s="569"/>
      <c r="V6" s="569"/>
      <c r="W6" s="569"/>
      <c r="X6" s="570"/>
    </row>
    <row r="7" spans="1:36" s="199" customFormat="1" ht="15" customHeight="1" x14ac:dyDescent="0.25">
      <c r="A7" s="571" t="s">
        <v>45</v>
      </c>
      <c r="B7" s="572"/>
      <c r="C7" s="572"/>
      <c r="D7" s="572"/>
      <c r="E7" s="572"/>
      <c r="F7" s="572"/>
      <c r="G7" s="572"/>
      <c r="H7" s="572"/>
      <c r="I7" s="572"/>
      <c r="J7" s="195" t="s">
        <v>113</v>
      </c>
      <c r="K7" s="196" t="s">
        <v>114</v>
      </c>
      <c r="L7" s="196"/>
      <c r="M7" s="196"/>
      <c r="N7" s="196"/>
      <c r="O7" s="196"/>
      <c r="P7" s="196"/>
      <c r="Q7" s="196"/>
      <c r="R7" s="196"/>
      <c r="S7" s="196"/>
      <c r="T7" s="196"/>
      <c r="U7" s="196"/>
      <c r="V7" s="196"/>
      <c r="W7" s="196"/>
      <c r="X7" s="197"/>
      <c r="Y7" s="198"/>
      <c r="Z7" s="198"/>
      <c r="AA7" s="198"/>
      <c r="AB7" s="198"/>
      <c r="AC7" s="198"/>
      <c r="AD7" s="198"/>
      <c r="AE7" s="198"/>
      <c r="AF7" s="198"/>
      <c r="AG7" s="198"/>
      <c r="AH7" s="198"/>
      <c r="AI7" s="198"/>
      <c r="AJ7" s="198"/>
    </row>
    <row r="8" spans="1:36" s="199" customFormat="1" ht="15" customHeight="1" x14ac:dyDescent="0.25">
      <c r="A8" s="194" t="s">
        <v>115</v>
      </c>
      <c r="B8" s="195"/>
      <c r="C8" s="195"/>
      <c r="D8" s="195"/>
      <c r="E8" s="195"/>
      <c r="F8" s="195"/>
      <c r="G8" s="195"/>
      <c r="H8" s="195"/>
      <c r="I8" s="195"/>
      <c r="J8" s="195" t="s">
        <v>113</v>
      </c>
      <c r="K8" s="200" t="s">
        <v>739</v>
      </c>
      <c r="L8" s="200"/>
      <c r="T8" s="200"/>
      <c r="U8" s="200"/>
      <c r="V8" s="200"/>
      <c r="W8" s="200"/>
      <c r="X8" s="201"/>
      <c r="Y8" s="198"/>
      <c r="Z8" s="198"/>
      <c r="AA8" s="198"/>
      <c r="AB8" s="198"/>
      <c r="AC8" s="198"/>
      <c r="AD8" s="198"/>
      <c r="AE8" s="198"/>
      <c r="AF8" s="198"/>
      <c r="AG8" s="198"/>
      <c r="AH8" s="198"/>
      <c r="AI8" s="198"/>
      <c r="AJ8" s="198"/>
    </row>
    <row r="9" spans="1:36" s="199" customFormat="1" ht="15" customHeight="1" x14ac:dyDescent="0.25">
      <c r="A9" s="573" t="s">
        <v>116</v>
      </c>
      <c r="B9" s="574"/>
      <c r="C9" s="574"/>
      <c r="D9" s="574"/>
      <c r="E9" s="574"/>
      <c r="F9" s="574"/>
      <c r="G9" s="574"/>
      <c r="H9" s="574"/>
      <c r="I9" s="574"/>
      <c r="J9" s="203" t="s">
        <v>113</v>
      </c>
      <c r="K9" s="204" t="s">
        <v>740</v>
      </c>
      <c r="L9" s="196"/>
      <c r="M9" s="204"/>
      <c r="N9" s="204"/>
      <c r="O9" s="204"/>
      <c r="P9" s="204"/>
      <c r="Q9" s="204"/>
      <c r="R9" s="204"/>
      <c r="S9" s="204"/>
      <c r="T9" s="196"/>
      <c r="U9" s="196"/>
      <c r="V9" s="196"/>
      <c r="W9" s="196"/>
      <c r="X9" s="197"/>
      <c r="Y9" s="198"/>
      <c r="Z9" s="198"/>
      <c r="AA9" s="198"/>
      <c r="AB9" s="198"/>
      <c r="AC9" s="198"/>
      <c r="AD9" s="198"/>
      <c r="AE9" s="198"/>
      <c r="AF9" s="198"/>
      <c r="AG9" s="198"/>
      <c r="AH9" s="198"/>
      <c r="AI9" s="198"/>
      <c r="AJ9" s="198"/>
    </row>
    <row r="10" spans="1:36" s="199" customFormat="1" ht="14.25" customHeight="1" x14ac:dyDescent="0.25">
      <c r="A10" s="202" t="s">
        <v>117</v>
      </c>
      <c r="B10" s="203"/>
      <c r="C10" s="205"/>
      <c r="D10" s="205"/>
      <c r="E10" s="205"/>
      <c r="F10" s="205"/>
      <c r="G10" s="205"/>
      <c r="H10" s="205"/>
      <c r="I10" s="203"/>
      <c r="J10" s="195" t="s">
        <v>113</v>
      </c>
      <c r="K10" s="206" t="s">
        <v>616</v>
      </c>
      <c r="L10" s="196"/>
      <c r="M10" s="196"/>
      <c r="N10" s="196"/>
      <c r="O10" s="196"/>
      <c r="P10" s="196"/>
      <c r="Q10" s="196"/>
      <c r="R10" s="196"/>
      <c r="S10" s="196"/>
      <c r="T10" s="207"/>
      <c r="U10" s="196"/>
      <c r="V10" s="196"/>
      <c r="W10" s="196"/>
      <c r="X10" s="197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</row>
    <row r="11" spans="1:36" s="199" customFormat="1" ht="14.25" customHeight="1" x14ac:dyDescent="0.25">
      <c r="A11" s="208" t="s">
        <v>118</v>
      </c>
      <c r="B11" s="209"/>
      <c r="C11" s="210"/>
      <c r="D11" s="210"/>
      <c r="E11" s="210"/>
      <c r="F11" s="210"/>
      <c r="G11" s="210"/>
      <c r="H11" s="210"/>
      <c r="I11" s="209"/>
      <c r="J11" s="195" t="s">
        <v>119</v>
      </c>
      <c r="K11" s="206" t="s">
        <v>114</v>
      </c>
      <c r="L11" s="211"/>
      <c r="M11" s="211"/>
      <c r="N11" s="211"/>
      <c r="O11" s="211"/>
      <c r="P11" s="211"/>
      <c r="Q11" s="211"/>
      <c r="R11" s="211"/>
      <c r="S11" s="211"/>
      <c r="T11" s="212"/>
      <c r="U11" s="211"/>
      <c r="V11" s="211"/>
      <c r="W11" s="211"/>
      <c r="X11" s="213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</row>
    <row r="12" spans="1:36" s="199" customFormat="1" ht="15.75" x14ac:dyDescent="0.25">
      <c r="A12" s="208" t="s">
        <v>120</v>
      </c>
      <c r="B12" s="209"/>
      <c r="C12" s="210"/>
      <c r="D12" s="210"/>
      <c r="E12" s="210"/>
      <c r="F12" s="210"/>
      <c r="G12" s="210"/>
      <c r="H12" s="210"/>
      <c r="I12" s="209"/>
      <c r="J12" s="195" t="s">
        <v>113</v>
      </c>
      <c r="K12" s="214" t="s">
        <v>773</v>
      </c>
      <c r="L12" s="211"/>
      <c r="M12" s="211"/>
      <c r="N12" s="211"/>
      <c r="O12" s="211"/>
      <c r="P12" s="211"/>
      <c r="Q12" s="211"/>
      <c r="R12" s="211"/>
      <c r="S12" s="211"/>
      <c r="T12" s="212"/>
      <c r="U12" s="211"/>
      <c r="V12" s="211"/>
      <c r="W12" s="211"/>
      <c r="X12" s="213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</row>
    <row r="13" spans="1:36" s="199" customFormat="1" ht="18" customHeight="1" x14ac:dyDescent="0.25">
      <c r="A13" s="559" t="s">
        <v>121</v>
      </c>
      <c r="B13" s="560"/>
      <c r="C13" s="560"/>
      <c r="D13" s="560"/>
      <c r="E13" s="560"/>
      <c r="F13" s="560"/>
      <c r="G13" s="560"/>
      <c r="H13" s="560"/>
      <c r="I13" s="560"/>
      <c r="J13" s="560"/>
      <c r="K13" s="560"/>
      <c r="L13" s="560"/>
      <c r="M13" s="560"/>
      <c r="N13" s="560"/>
      <c r="O13" s="560"/>
      <c r="P13" s="560"/>
      <c r="Q13" s="560"/>
      <c r="R13" s="560"/>
      <c r="S13" s="560"/>
      <c r="T13" s="560"/>
      <c r="U13" s="560"/>
      <c r="V13" s="560"/>
      <c r="W13" s="560"/>
      <c r="X13" s="561"/>
    </row>
    <row r="14" spans="1:36" s="199" customFormat="1" ht="15.75" x14ac:dyDescent="0.25">
      <c r="A14" s="578" t="s">
        <v>122</v>
      </c>
      <c r="B14" s="579"/>
      <c r="C14" s="579"/>
      <c r="D14" s="579"/>
      <c r="E14" s="579"/>
      <c r="F14" s="579"/>
      <c r="G14" s="579"/>
      <c r="H14" s="579"/>
      <c r="I14" s="580"/>
      <c r="J14" s="581" t="s">
        <v>123</v>
      </c>
      <c r="K14" s="579"/>
      <c r="L14" s="579"/>
      <c r="M14" s="579"/>
      <c r="N14" s="579"/>
      <c r="O14" s="579"/>
      <c r="P14" s="579"/>
      <c r="Q14" s="579"/>
      <c r="R14" s="579"/>
      <c r="S14" s="579"/>
      <c r="T14" s="579"/>
      <c r="U14" s="579"/>
      <c r="V14" s="581" t="s">
        <v>124</v>
      </c>
      <c r="W14" s="579"/>
      <c r="X14" s="582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</row>
    <row r="15" spans="1:36" s="199" customFormat="1" ht="17.25" customHeight="1" x14ac:dyDescent="0.25">
      <c r="A15" s="573" t="s">
        <v>125</v>
      </c>
      <c r="B15" s="574"/>
      <c r="C15" s="574"/>
      <c r="D15" s="574"/>
      <c r="E15" s="574"/>
      <c r="F15" s="574"/>
      <c r="G15" s="574"/>
      <c r="H15" s="574"/>
      <c r="I15" s="583"/>
      <c r="J15" s="203" t="s">
        <v>119</v>
      </c>
      <c r="K15" s="200"/>
      <c r="L15" s="196"/>
      <c r="M15" s="196"/>
      <c r="N15" s="196"/>
      <c r="O15" s="196"/>
      <c r="P15" s="196"/>
      <c r="Q15" s="196"/>
      <c r="R15" s="196"/>
      <c r="S15" s="196"/>
      <c r="T15" s="207"/>
      <c r="U15" s="196"/>
      <c r="V15" s="215"/>
      <c r="W15" s="196"/>
      <c r="X15" s="197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</row>
    <row r="16" spans="1:36" s="199" customFormat="1" ht="15.75" customHeight="1" x14ac:dyDescent="0.25">
      <c r="A16" s="571" t="s">
        <v>126</v>
      </c>
      <c r="B16" s="572"/>
      <c r="C16" s="572"/>
      <c r="D16" s="572"/>
      <c r="E16" s="572"/>
      <c r="F16" s="572"/>
      <c r="G16" s="572"/>
      <c r="H16" s="572"/>
      <c r="I16" s="584"/>
      <c r="J16" s="216" t="s">
        <v>119</v>
      </c>
      <c r="K16" s="217" t="s">
        <v>127</v>
      </c>
      <c r="L16" s="217"/>
      <c r="M16" s="217"/>
      <c r="N16" s="217"/>
      <c r="O16" s="217"/>
      <c r="P16" s="217"/>
      <c r="Q16" s="217"/>
      <c r="R16" s="217"/>
      <c r="S16" s="217"/>
      <c r="T16" s="218"/>
      <c r="U16" s="217"/>
      <c r="V16" s="591"/>
      <c r="W16" s="592"/>
      <c r="X16" s="593"/>
      <c r="Y16" s="198"/>
      <c r="Z16" s="198"/>
      <c r="AA16" s="198"/>
      <c r="AB16" s="198"/>
      <c r="AC16" s="198"/>
      <c r="AD16" s="198"/>
      <c r="AE16" s="198"/>
      <c r="AF16" s="198"/>
      <c r="AG16" s="198"/>
      <c r="AH16" s="198"/>
      <c r="AI16" s="198"/>
      <c r="AJ16" s="198"/>
    </row>
    <row r="17" spans="1:51" s="199" customFormat="1" ht="15.75" customHeight="1" x14ac:dyDescent="0.25">
      <c r="A17" s="585"/>
      <c r="B17" s="586"/>
      <c r="C17" s="586"/>
      <c r="D17" s="586"/>
      <c r="E17" s="586"/>
      <c r="F17" s="586"/>
      <c r="G17" s="586"/>
      <c r="H17" s="586"/>
      <c r="I17" s="587"/>
      <c r="J17" s="222" t="s">
        <v>119</v>
      </c>
      <c r="K17" s="223" t="s">
        <v>128</v>
      </c>
      <c r="L17" s="223"/>
      <c r="M17" s="223"/>
      <c r="N17" s="223"/>
      <c r="O17" s="223"/>
      <c r="P17" s="223"/>
      <c r="Q17" s="223"/>
      <c r="R17" s="223"/>
      <c r="S17" s="223"/>
      <c r="T17" s="224"/>
      <c r="U17" s="223"/>
      <c r="V17" s="594"/>
      <c r="W17" s="595"/>
      <c r="X17" s="596"/>
      <c r="Y17" s="198"/>
      <c r="Z17" s="198"/>
      <c r="AA17" s="198"/>
      <c r="AB17" s="198"/>
      <c r="AC17" s="198"/>
      <c r="AD17" s="198"/>
      <c r="AE17" s="198"/>
      <c r="AF17" s="198"/>
      <c r="AG17" s="198"/>
      <c r="AH17" s="198"/>
      <c r="AI17" s="198"/>
      <c r="AJ17" s="198"/>
    </row>
    <row r="18" spans="1:51" s="199" customFormat="1" ht="13.5" customHeight="1" x14ac:dyDescent="0.25">
      <c r="A18" s="585"/>
      <c r="B18" s="586"/>
      <c r="C18" s="586"/>
      <c r="D18" s="586"/>
      <c r="E18" s="586"/>
      <c r="F18" s="586"/>
      <c r="G18" s="586"/>
      <c r="H18" s="586"/>
      <c r="I18" s="587"/>
      <c r="J18" s="222" t="s">
        <v>119</v>
      </c>
      <c r="K18" s="223" t="s">
        <v>129</v>
      </c>
      <c r="L18" s="223"/>
      <c r="M18" s="223"/>
      <c r="N18" s="223"/>
      <c r="O18" s="223"/>
      <c r="P18" s="223"/>
      <c r="Q18" s="223"/>
      <c r="R18" s="223"/>
      <c r="S18" s="223"/>
      <c r="T18" s="224"/>
      <c r="U18" s="223"/>
      <c r="V18" s="594"/>
      <c r="W18" s="595"/>
      <c r="X18" s="596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</row>
    <row r="19" spans="1:51" s="199" customFormat="1" ht="15.75" customHeight="1" x14ac:dyDescent="0.25">
      <c r="A19" s="588"/>
      <c r="B19" s="589"/>
      <c r="C19" s="589"/>
      <c r="D19" s="589"/>
      <c r="E19" s="589"/>
      <c r="F19" s="589"/>
      <c r="G19" s="589"/>
      <c r="H19" s="589"/>
      <c r="I19" s="590"/>
      <c r="J19" s="226" t="s">
        <v>119</v>
      </c>
      <c r="K19" s="211" t="s">
        <v>130</v>
      </c>
      <c r="L19" s="211"/>
      <c r="M19" s="211"/>
      <c r="N19" s="211"/>
      <c r="O19" s="211"/>
      <c r="P19" s="211"/>
      <c r="Q19" s="211"/>
      <c r="R19" s="211"/>
      <c r="S19" s="211"/>
      <c r="T19" s="212"/>
      <c r="U19" s="211"/>
      <c r="V19" s="597"/>
      <c r="W19" s="598"/>
      <c r="X19" s="599"/>
      <c r="Y19" s="198"/>
      <c r="Z19" s="198"/>
      <c r="AA19" s="198"/>
      <c r="AB19" s="198"/>
      <c r="AC19" s="198"/>
      <c r="AD19" s="198"/>
      <c r="AE19" s="198"/>
      <c r="AF19" s="198"/>
      <c r="AG19" s="198"/>
      <c r="AH19" s="198"/>
      <c r="AI19" s="198"/>
      <c r="AJ19" s="198"/>
    </row>
    <row r="20" spans="1:51" s="199" customFormat="1" ht="15.75" customHeight="1" x14ac:dyDescent="0.25">
      <c r="A20" s="585" t="s">
        <v>131</v>
      </c>
      <c r="B20" s="586"/>
      <c r="C20" s="586"/>
      <c r="D20" s="586"/>
      <c r="E20" s="586"/>
      <c r="F20" s="586"/>
      <c r="G20" s="586"/>
      <c r="H20" s="586"/>
      <c r="I20" s="587"/>
      <c r="J20" s="220" t="s">
        <v>119</v>
      </c>
      <c r="K20" s="200" t="s">
        <v>741</v>
      </c>
      <c r="L20" s="196"/>
      <c r="M20" s="196"/>
      <c r="N20" s="196"/>
      <c r="O20" s="196"/>
      <c r="P20" s="196"/>
      <c r="Q20" s="196"/>
      <c r="R20" s="196"/>
      <c r="S20" s="196"/>
      <c r="T20" s="207"/>
      <c r="U20" s="196"/>
      <c r="V20" s="575"/>
      <c r="W20" s="576"/>
      <c r="X20" s="577"/>
      <c r="Y20" s="198"/>
      <c r="Z20" s="198"/>
      <c r="AA20" s="198"/>
      <c r="AB20" s="198"/>
      <c r="AC20" s="198"/>
      <c r="AD20" s="198"/>
      <c r="AE20" s="198"/>
      <c r="AF20" s="198"/>
      <c r="AG20" s="198"/>
      <c r="AH20" s="198"/>
      <c r="AI20" s="198"/>
      <c r="AJ20" s="198"/>
    </row>
    <row r="21" spans="1:51" s="199" customFormat="1" ht="15.75" customHeight="1" x14ac:dyDescent="0.25">
      <c r="A21" s="219"/>
      <c r="B21" s="220"/>
      <c r="C21" s="220"/>
      <c r="D21" s="220"/>
      <c r="E21" s="220"/>
      <c r="F21" s="220"/>
      <c r="G21" s="220"/>
      <c r="H21" s="220"/>
      <c r="I21" s="221"/>
      <c r="J21" s="229"/>
      <c r="K21" s="200" t="s">
        <v>742</v>
      </c>
      <c r="L21" s="196"/>
      <c r="M21" s="196"/>
      <c r="N21" s="196"/>
      <c r="O21" s="196"/>
      <c r="P21" s="196"/>
      <c r="Q21" s="196"/>
      <c r="R21" s="196"/>
      <c r="S21" s="196"/>
      <c r="T21" s="207"/>
      <c r="U21" s="196"/>
      <c r="V21" s="575"/>
      <c r="W21" s="576"/>
      <c r="X21" s="577"/>
      <c r="Y21" s="198"/>
      <c r="Z21" s="198"/>
      <c r="AA21" s="198"/>
      <c r="AB21" s="198"/>
      <c r="AC21" s="198"/>
      <c r="AD21" s="198"/>
      <c r="AE21" s="198"/>
      <c r="AF21" s="198"/>
      <c r="AG21" s="198"/>
      <c r="AH21" s="198"/>
      <c r="AI21" s="198"/>
      <c r="AJ21" s="198"/>
    </row>
    <row r="22" spans="1:51" s="199" customFormat="1" ht="15.75" x14ac:dyDescent="0.25">
      <c r="A22" s="219"/>
      <c r="B22" s="220"/>
      <c r="C22" s="220"/>
      <c r="D22" s="220"/>
      <c r="E22" s="220"/>
      <c r="F22" s="220"/>
      <c r="G22" s="220"/>
      <c r="H22" s="220"/>
      <c r="I22" s="221"/>
      <c r="J22" s="229"/>
      <c r="K22" s="600" t="s">
        <v>743</v>
      </c>
      <c r="L22" s="600"/>
      <c r="M22" s="600"/>
      <c r="N22" s="600"/>
      <c r="O22" s="600"/>
      <c r="P22" s="600"/>
      <c r="Q22" s="600"/>
      <c r="R22" s="600"/>
      <c r="S22" s="600"/>
      <c r="T22" s="600"/>
      <c r="U22" s="601"/>
      <c r="V22" s="575"/>
      <c r="W22" s="576"/>
      <c r="X22" s="577"/>
      <c r="Y22" s="198"/>
      <c r="Z22" s="198"/>
      <c r="AA22" s="198"/>
      <c r="AB22" s="198"/>
      <c r="AC22" s="198"/>
      <c r="AD22" s="198"/>
      <c r="AE22" s="198"/>
      <c r="AF22" s="198"/>
      <c r="AG22" s="198"/>
      <c r="AH22" s="198"/>
      <c r="AI22" s="198"/>
      <c r="AJ22" s="198"/>
    </row>
    <row r="23" spans="1:51" s="199" customFormat="1" ht="15.75" customHeight="1" x14ac:dyDescent="0.25">
      <c r="A23" s="219"/>
      <c r="B23" s="220"/>
      <c r="C23" s="220"/>
      <c r="D23" s="220"/>
      <c r="E23" s="220"/>
      <c r="F23" s="220"/>
      <c r="G23" s="220"/>
      <c r="H23" s="220"/>
      <c r="I23" s="221"/>
      <c r="J23" s="229"/>
      <c r="K23" s="204" t="s">
        <v>744</v>
      </c>
      <c r="L23" s="211"/>
      <c r="M23" s="211"/>
      <c r="N23" s="211"/>
      <c r="O23" s="211"/>
      <c r="P23" s="211"/>
      <c r="Q23" s="211"/>
      <c r="R23" s="211"/>
      <c r="S23" s="211"/>
      <c r="T23" s="212"/>
      <c r="U23" s="211"/>
      <c r="V23" s="575"/>
      <c r="W23" s="576"/>
      <c r="X23" s="577"/>
      <c r="Y23" s="198"/>
      <c r="Z23" s="198"/>
      <c r="AA23" s="198"/>
      <c r="AB23" s="198"/>
      <c r="AC23" s="198"/>
      <c r="AD23" s="198"/>
      <c r="AE23" s="198"/>
      <c r="AF23" s="198"/>
      <c r="AG23" s="198"/>
      <c r="AH23" s="198"/>
      <c r="AI23" s="198"/>
      <c r="AJ23" s="198"/>
    </row>
    <row r="24" spans="1:51" s="199" customFormat="1" ht="16.5" customHeight="1" x14ac:dyDescent="0.25">
      <c r="A24" s="573" t="s">
        <v>132</v>
      </c>
      <c r="B24" s="574"/>
      <c r="C24" s="574"/>
      <c r="D24" s="574"/>
      <c r="E24" s="574"/>
      <c r="F24" s="574"/>
      <c r="G24" s="574"/>
      <c r="H24" s="574"/>
      <c r="I24" s="583"/>
      <c r="J24" s="203" t="s">
        <v>119</v>
      </c>
      <c r="K24" s="200"/>
      <c r="L24" s="196"/>
      <c r="M24" s="196"/>
      <c r="N24" s="196"/>
      <c r="O24" s="196"/>
      <c r="P24" s="196"/>
      <c r="Q24" s="196"/>
      <c r="R24" s="196"/>
      <c r="S24" s="196"/>
      <c r="T24" s="207"/>
      <c r="U24" s="196"/>
      <c r="V24" s="230"/>
      <c r="W24" s="196"/>
      <c r="X24" s="197"/>
      <c r="Y24" s="198"/>
      <c r="Z24" s="198"/>
      <c r="AA24" s="198"/>
      <c r="AB24" s="198"/>
      <c r="AC24" s="198"/>
      <c r="AD24" s="198"/>
      <c r="AE24" s="198"/>
      <c r="AF24" s="198"/>
      <c r="AG24" s="198"/>
      <c r="AH24" s="198"/>
      <c r="AI24" s="198"/>
      <c r="AJ24" s="198"/>
    </row>
    <row r="25" spans="1:51" s="199" customFormat="1" ht="16.5" customHeight="1" x14ac:dyDescent="0.25">
      <c r="A25" s="208"/>
      <c r="B25" s="209"/>
      <c r="C25" s="209"/>
      <c r="D25" s="209"/>
      <c r="E25" s="209"/>
      <c r="F25" s="209"/>
      <c r="G25" s="209"/>
      <c r="H25" s="209"/>
      <c r="I25" s="225"/>
      <c r="J25" s="209"/>
      <c r="K25" s="200"/>
      <c r="L25" s="211"/>
      <c r="M25" s="211"/>
      <c r="N25" s="211"/>
      <c r="O25" s="211"/>
      <c r="P25" s="211"/>
      <c r="Q25" s="211"/>
      <c r="R25" s="211"/>
      <c r="S25" s="211"/>
      <c r="T25" s="212"/>
      <c r="U25" s="211"/>
      <c r="V25" s="230"/>
      <c r="W25" s="211"/>
      <c r="X25" s="213"/>
      <c r="Y25" s="198"/>
      <c r="Z25" s="198"/>
      <c r="AA25" s="198"/>
      <c r="AB25" s="198"/>
      <c r="AC25" s="198"/>
      <c r="AD25" s="198"/>
      <c r="AE25" s="198"/>
      <c r="AF25" s="198"/>
      <c r="AG25" s="198"/>
      <c r="AH25" s="198"/>
      <c r="AI25" s="198"/>
      <c r="AJ25" s="198"/>
    </row>
    <row r="26" spans="1:51" s="199" customFormat="1" ht="16.5" customHeight="1" x14ac:dyDescent="0.25">
      <c r="A26" s="208"/>
      <c r="B26" s="209"/>
      <c r="C26" s="209"/>
      <c r="D26" s="209"/>
      <c r="E26" s="209"/>
      <c r="F26" s="209"/>
      <c r="G26" s="209"/>
      <c r="H26" s="209"/>
      <c r="I26" s="225"/>
      <c r="J26" s="209"/>
      <c r="K26" s="200"/>
      <c r="L26" s="211"/>
      <c r="M26" s="211"/>
      <c r="N26" s="211"/>
      <c r="O26" s="211"/>
      <c r="P26" s="211"/>
      <c r="Q26" s="211"/>
      <c r="R26" s="211"/>
      <c r="S26" s="211"/>
      <c r="T26" s="212"/>
      <c r="U26" s="211"/>
      <c r="V26" s="230"/>
      <c r="W26" s="211"/>
      <c r="X26" s="213"/>
      <c r="Y26" s="198"/>
      <c r="Z26" s="198"/>
      <c r="AA26" s="198"/>
      <c r="AB26" s="198"/>
      <c r="AC26" s="198"/>
      <c r="AD26" s="198"/>
      <c r="AE26" s="198"/>
      <c r="AF26" s="198"/>
      <c r="AG26" s="198"/>
      <c r="AH26" s="198"/>
      <c r="AI26" s="198"/>
      <c r="AJ26" s="198"/>
    </row>
    <row r="27" spans="1:51" s="199" customFormat="1" ht="16.5" customHeight="1" x14ac:dyDescent="0.25">
      <c r="A27" s="208"/>
      <c r="B27" s="209"/>
      <c r="C27" s="209"/>
      <c r="D27" s="209"/>
      <c r="E27" s="209"/>
      <c r="F27" s="209"/>
      <c r="G27" s="209"/>
      <c r="H27" s="209"/>
      <c r="I27" s="225"/>
      <c r="J27" s="209"/>
      <c r="K27" s="200"/>
      <c r="L27" s="211"/>
      <c r="M27" s="211"/>
      <c r="N27" s="211"/>
      <c r="O27" s="211"/>
      <c r="P27" s="211"/>
      <c r="Q27" s="211"/>
      <c r="R27" s="211"/>
      <c r="S27" s="211"/>
      <c r="T27" s="212"/>
      <c r="U27" s="211"/>
      <c r="V27" s="231"/>
      <c r="W27" s="211"/>
      <c r="X27" s="213"/>
      <c r="Y27" s="198"/>
      <c r="Z27" s="198"/>
      <c r="AA27" s="198"/>
      <c r="AB27" s="198"/>
      <c r="AC27" s="198"/>
      <c r="AD27" s="198"/>
      <c r="AE27" s="198"/>
      <c r="AF27" s="198"/>
      <c r="AG27" s="198"/>
      <c r="AH27" s="198"/>
      <c r="AI27" s="198"/>
      <c r="AJ27" s="198"/>
    </row>
    <row r="28" spans="1:51" s="199" customFormat="1" ht="18.75" customHeight="1" x14ac:dyDescent="0.25">
      <c r="A28" s="602" t="s">
        <v>133</v>
      </c>
      <c r="B28" s="603"/>
      <c r="C28" s="603"/>
      <c r="D28" s="603"/>
      <c r="E28" s="603"/>
      <c r="F28" s="603"/>
      <c r="G28" s="603"/>
      <c r="H28" s="603"/>
      <c r="I28" s="604"/>
      <c r="J28" s="209" t="s">
        <v>119</v>
      </c>
      <c r="K28" s="200"/>
      <c r="L28" s="211"/>
      <c r="M28" s="211"/>
      <c r="N28" s="211"/>
      <c r="O28" s="211"/>
      <c r="P28" s="211"/>
      <c r="Q28" s="211"/>
      <c r="R28" s="211"/>
      <c r="S28" s="211"/>
      <c r="T28" s="212"/>
      <c r="U28" s="211"/>
      <c r="V28" s="200"/>
      <c r="W28" s="232"/>
      <c r="X28" s="233"/>
      <c r="Y28" s="198"/>
      <c r="Z28" s="198"/>
      <c r="AA28" s="198"/>
      <c r="AB28" s="198"/>
      <c r="AC28" s="198"/>
      <c r="AD28" s="198"/>
      <c r="AE28" s="198"/>
      <c r="AF28" s="198"/>
      <c r="AG28" s="198"/>
      <c r="AH28" s="198"/>
      <c r="AI28" s="198"/>
      <c r="AJ28" s="198"/>
    </row>
    <row r="29" spans="1:51" s="199" customFormat="1" ht="15.75" x14ac:dyDescent="0.25">
      <c r="A29" s="605" t="s">
        <v>134</v>
      </c>
      <c r="B29" s="606"/>
      <c r="C29" s="606"/>
      <c r="D29" s="606"/>
      <c r="E29" s="606"/>
      <c r="F29" s="606"/>
      <c r="G29" s="606"/>
      <c r="H29" s="606"/>
      <c r="I29" s="606"/>
      <c r="J29" s="606"/>
      <c r="K29" s="606"/>
      <c r="L29" s="606"/>
      <c r="M29" s="606"/>
      <c r="N29" s="606"/>
      <c r="O29" s="606"/>
      <c r="P29" s="606"/>
      <c r="Q29" s="606"/>
      <c r="R29" s="606"/>
      <c r="S29" s="606"/>
      <c r="T29" s="606"/>
      <c r="U29" s="606"/>
      <c r="V29" s="606"/>
      <c r="W29" s="606"/>
      <c r="X29" s="607"/>
    </row>
    <row r="30" spans="1:51" s="199" customFormat="1" ht="16.5" thickBot="1" x14ac:dyDescent="0.3">
      <c r="A30" s="608" t="s">
        <v>135</v>
      </c>
      <c r="B30" s="609"/>
      <c r="C30" s="609"/>
      <c r="D30" s="609"/>
      <c r="E30" s="609"/>
      <c r="F30" s="609"/>
      <c r="G30" s="609"/>
      <c r="H30" s="609"/>
      <c r="I30" s="609"/>
      <c r="J30" s="609"/>
      <c r="K30" s="609"/>
      <c r="L30" s="609"/>
      <c r="M30" s="609"/>
      <c r="N30" s="609"/>
      <c r="O30" s="609"/>
      <c r="P30" s="609"/>
      <c r="Q30" s="609"/>
      <c r="R30" s="609"/>
      <c r="S30" s="609"/>
      <c r="T30" s="609"/>
      <c r="U30" s="609"/>
      <c r="V30" s="609"/>
      <c r="W30" s="609"/>
      <c r="X30" s="610"/>
    </row>
    <row r="31" spans="1:51" s="199" customFormat="1" ht="10.5" customHeight="1" x14ac:dyDescent="0.25">
      <c r="A31" s="611" t="s">
        <v>136</v>
      </c>
      <c r="B31" s="612"/>
      <c r="C31" s="612"/>
      <c r="D31" s="612"/>
      <c r="E31" s="612"/>
      <c r="F31" s="612"/>
      <c r="G31" s="612"/>
      <c r="H31" s="613"/>
      <c r="I31" s="620" t="s">
        <v>137</v>
      </c>
      <c r="J31" s="612"/>
      <c r="K31" s="613"/>
      <c r="L31" s="620" t="s">
        <v>138</v>
      </c>
      <c r="M31" s="612"/>
      <c r="N31" s="612"/>
      <c r="O31" s="612"/>
      <c r="P31" s="612"/>
      <c r="Q31" s="612"/>
      <c r="R31" s="612"/>
      <c r="S31" s="612"/>
      <c r="T31" s="612"/>
      <c r="U31" s="612"/>
      <c r="V31" s="613"/>
      <c r="W31" s="623" t="s">
        <v>139</v>
      </c>
      <c r="X31" s="625" t="s">
        <v>140</v>
      </c>
      <c r="Y31" s="636" t="s">
        <v>567</v>
      </c>
      <c r="Z31" s="636"/>
      <c r="AA31" s="636"/>
      <c r="AB31" s="636"/>
      <c r="AC31" s="636"/>
      <c r="AD31" s="636"/>
      <c r="AE31" s="636"/>
      <c r="AF31" s="636"/>
      <c r="AG31" s="636"/>
      <c r="AH31" s="636"/>
      <c r="AI31" s="636"/>
      <c r="AJ31" s="637"/>
      <c r="AK31" s="642" t="s">
        <v>139</v>
      </c>
      <c r="AL31" s="645" t="s">
        <v>568</v>
      </c>
      <c r="AM31" s="636"/>
      <c r="AN31" s="636"/>
      <c r="AO31" s="636"/>
      <c r="AP31" s="636"/>
      <c r="AQ31" s="636"/>
      <c r="AR31" s="636"/>
      <c r="AS31" s="636"/>
      <c r="AT31" s="636"/>
      <c r="AU31" s="636"/>
      <c r="AV31" s="636"/>
      <c r="AW31" s="637"/>
      <c r="AX31" s="642" t="s">
        <v>139</v>
      </c>
      <c r="AY31" s="648" t="s">
        <v>141</v>
      </c>
    </row>
    <row r="32" spans="1:51" s="199" customFormat="1" ht="6.75" customHeight="1" x14ac:dyDescent="0.25">
      <c r="A32" s="614"/>
      <c r="B32" s="615"/>
      <c r="C32" s="615"/>
      <c r="D32" s="615"/>
      <c r="E32" s="615"/>
      <c r="F32" s="615"/>
      <c r="G32" s="615"/>
      <c r="H32" s="616"/>
      <c r="I32" s="621"/>
      <c r="J32" s="615"/>
      <c r="K32" s="616"/>
      <c r="L32" s="621"/>
      <c r="M32" s="615"/>
      <c r="N32" s="615"/>
      <c r="O32" s="615"/>
      <c r="P32" s="615"/>
      <c r="Q32" s="615"/>
      <c r="R32" s="615"/>
      <c r="S32" s="615"/>
      <c r="T32" s="615"/>
      <c r="U32" s="615"/>
      <c r="V32" s="616"/>
      <c r="W32" s="624"/>
      <c r="X32" s="626"/>
      <c r="Y32" s="638"/>
      <c r="Z32" s="638"/>
      <c r="AA32" s="638"/>
      <c r="AB32" s="638"/>
      <c r="AC32" s="638"/>
      <c r="AD32" s="638"/>
      <c r="AE32" s="638"/>
      <c r="AF32" s="638"/>
      <c r="AG32" s="638"/>
      <c r="AH32" s="638"/>
      <c r="AI32" s="638"/>
      <c r="AJ32" s="639"/>
      <c r="AK32" s="643"/>
      <c r="AL32" s="646"/>
      <c r="AM32" s="638"/>
      <c r="AN32" s="638"/>
      <c r="AO32" s="638"/>
      <c r="AP32" s="638"/>
      <c r="AQ32" s="638"/>
      <c r="AR32" s="638"/>
      <c r="AS32" s="638"/>
      <c r="AT32" s="638"/>
      <c r="AU32" s="638"/>
      <c r="AV32" s="638"/>
      <c r="AW32" s="639"/>
      <c r="AX32" s="643"/>
      <c r="AY32" s="649"/>
    </row>
    <row r="33" spans="1:51" s="199" customFormat="1" ht="10.5" customHeight="1" thickBot="1" x14ac:dyDescent="0.3">
      <c r="A33" s="614"/>
      <c r="B33" s="615"/>
      <c r="C33" s="615"/>
      <c r="D33" s="615"/>
      <c r="E33" s="615"/>
      <c r="F33" s="615"/>
      <c r="G33" s="615"/>
      <c r="H33" s="616"/>
      <c r="I33" s="621"/>
      <c r="J33" s="615"/>
      <c r="K33" s="616"/>
      <c r="L33" s="628" t="s">
        <v>79</v>
      </c>
      <c r="M33" s="629"/>
      <c r="N33" s="629"/>
      <c r="O33" s="629"/>
      <c r="P33" s="629"/>
      <c r="Q33" s="629"/>
      <c r="R33" s="629"/>
      <c r="S33" s="630"/>
      <c r="T33" s="631" t="s">
        <v>80</v>
      </c>
      <c r="U33" s="631" t="s">
        <v>81</v>
      </c>
      <c r="V33" s="631" t="s">
        <v>82</v>
      </c>
      <c r="W33" s="624"/>
      <c r="X33" s="626"/>
      <c r="Y33" s="640"/>
      <c r="Z33" s="640"/>
      <c r="AA33" s="640"/>
      <c r="AB33" s="640"/>
      <c r="AC33" s="640"/>
      <c r="AD33" s="640"/>
      <c r="AE33" s="640"/>
      <c r="AF33" s="640"/>
      <c r="AG33" s="640"/>
      <c r="AH33" s="640"/>
      <c r="AI33" s="640"/>
      <c r="AJ33" s="641"/>
      <c r="AK33" s="643"/>
      <c r="AL33" s="647"/>
      <c r="AM33" s="640"/>
      <c r="AN33" s="640"/>
      <c r="AO33" s="640"/>
      <c r="AP33" s="640"/>
      <c r="AQ33" s="640"/>
      <c r="AR33" s="640"/>
      <c r="AS33" s="640"/>
      <c r="AT33" s="640"/>
      <c r="AU33" s="640"/>
      <c r="AV33" s="640"/>
      <c r="AW33" s="641"/>
      <c r="AX33" s="643"/>
      <c r="AY33" s="649"/>
    </row>
    <row r="34" spans="1:51" s="199" customFormat="1" ht="8.25" customHeight="1" thickBot="1" x14ac:dyDescent="0.3">
      <c r="A34" s="614"/>
      <c r="B34" s="615"/>
      <c r="C34" s="615"/>
      <c r="D34" s="615"/>
      <c r="E34" s="615"/>
      <c r="F34" s="615"/>
      <c r="G34" s="615"/>
      <c r="H34" s="616"/>
      <c r="I34" s="621"/>
      <c r="J34" s="615"/>
      <c r="K34" s="616"/>
      <c r="L34" s="621"/>
      <c r="M34" s="615"/>
      <c r="N34" s="615"/>
      <c r="O34" s="615"/>
      <c r="P34" s="615"/>
      <c r="Q34" s="615"/>
      <c r="R34" s="615"/>
      <c r="S34" s="616"/>
      <c r="T34" s="632"/>
      <c r="U34" s="632"/>
      <c r="V34" s="632"/>
      <c r="W34" s="634" t="s">
        <v>142</v>
      </c>
      <c r="X34" s="626"/>
      <c r="Y34" s="653" t="s">
        <v>50</v>
      </c>
      <c r="Z34" s="655" t="s">
        <v>53</v>
      </c>
      <c r="AA34" s="655" t="s">
        <v>55</v>
      </c>
      <c r="AB34" s="655" t="s">
        <v>57</v>
      </c>
      <c r="AC34" s="657" t="s">
        <v>59</v>
      </c>
      <c r="AD34" s="657" t="s">
        <v>61</v>
      </c>
      <c r="AE34" s="657" t="s">
        <v>101</v>
      </c>
      <c r="AF34" s="657" t="s">
        <v>107</v>
      </c>
      <c r="AG34" s="651" t="s">
        <v>143</v>
      </c>
      <c r="AH34" s="651" t="s">
        <v>144</v>
      </c>
      <c r="AI34" s="651" t="s">
        <v>145</v>
      </c>
      <c r="AJ34" s="651" t="s">
        <v>146</v>
      </c>
      <c r="AK34" s="643"/>
      <c r="AL34" s="655" t="s">
        <v>50</v>
      </c>
      <c r="AM34" s="655" t="s">
        <v>53</v>
      </c>
      <c r="AN34" s="655" t="s">
        <v>55</v>
      </c>
      <c r="AO34" s="655" t="s">
        <v>57</v>
      </c>
      <c r="AP34" s="657" t="s">
        <v>59</v>
      </c>
      <c r="AQ34" s="657" t="s">
        <v>61</v>
      </c>
      <c r="AR34" s="657" t="s">
        <v>101</v>
      </c>
      <c r="AS34" s="657" t="s">
        <v>107</v>
      </c>
      <c r="AT34" s="651" t="s">
        <v>143</v>
      </c>
      <c r="AU34" s="651" t="s">
        <v>144</v>
      </c>
      <c r="AV34" s="651" t="s">
        <v>145</v>
      </c>
      <c r="AW34" s="651" t="s">
        <v>146</v>
      </c>
      <c r="AX34" s="643"/>
      <c r="AY34" s="649"/>
    </row>
    <row r="35" spans="1:51" s="199" customFormat="1" ht="12.75" customHeight="1" thickBot="1" x14ac:dyDescent="0.3">
      <c r="A35" s="617"/>
      <c r="B35" s="618"/>
      <c r="C35" s="618"/>
      <c r="D35" s="618"/>
      <c r="E35" s="618"/>
      <c r="F35" s="618"/>
      <c r="G35" s="618"/>
      <c r="H35" s="619"/>
      <c r="I35" s="622"/>
      <c r="J35" s="618"/>
      <c r="K35" s="619"/>
      <c r="L35" s="622"/>
      <c r="M35" s="618"/>
      <c r="N35" s="618"/>
      <c r="O35" s="618"/>
      <c r="P35" s="618"/>
      <c r="Q35" s="618"/>
      <c r="R35" s="618"/>
      <c r="S35" s="619"/>
      <c r="T35" s="633"/>
      <c r="U35" s="633"/>
      <c r="V35" s="633"/>
      <c r="W35" s="635"/>
      <c r="X35" s="627"/>
      <c r="Y35" s="654"/>
      <c r="Z35" s="656"/>
      <c r="AA35" s="656"/>
      <c r="AB35" s="656"/>
      <c r="AC35" s="658"/>
      <c r="AD35" s="658"/>
      <c r="AE35" s="658"/>
      <c r="AF35" s="658"/>
      <c r="AG35" s="652"/>
      <c r="AH35" s="652"/>
      <c r="AI35" s="652"/>
      <c r="AJ35" s="652"/>
      <c r="AK35" s="644"/>
      <c r="AL35" s="656"/>
      <c r="AM35" s="656"/>
      <c r="AN35" s="656"/>
      <c r="AO35" s="656"/>
      <c r="AP35" s="658"/>
      <c r="AQ35" s="658"/>
      <c r="AR35" s="658"/>
      <c r="AS35" s="658"/>
      <c r="AT35" s="652"/>
      <c r="AU35" s="652"/>
      <c r="AV35" s="652"/>
      <c r="AW35" s="652"/>
      <c r="AX35" s="644"/>
      <c r="AY35" s="650"/>
    </row>
    <row r="36" spans="1:51" s="199" customFormat="1" ht="15.75" x14ac:dyDescent="0.25">
      <c r="A36" s="661">
        <v>1</v>
      </c>
      <c r="B36" s="662"/>
      <c r="C36" s="662"/>
      <c r="D36" s="662"/>
      <c r="E36" s="662"/>
      <c r="F36" s="662"/>
      <c r="G36" s="662"/>
      <c r="H36" s="663"/>
      <c r="I36" s="664">
        <v>2</v>
      </c>
      <c r="J36" s="665"/>
      <c r="K36" s="666"/>
      <c r="L36" s="664">
        <v>3</v>
      </c>
      <c r="M36" s="665"/>
      <c r="N36" s="665"/>
      <c r="O36" s="665"/>
      <c r="P36" s="665"/>
      <c r="Q36" s="665"/>
      <c r="R36" s="665"/>
      <c r="S36" s="665"/>
      <c r="T36" s="234">
        <v>4</v>
      </c>
      <c r="U36" s="235">
        <v>5</v>
      </c>
      <c r="V36" s="236">
        <v>6</v>
      </c>
      <c r="W36" s="237" t="s">
        <v>147</v>
      </c>
      <c r="X36" s="237">
        <v>8</v>
      </c>
      <c r="Y36" s="238"/>
      <c r="Z36" s="239"/>
      <c r="AA36" s="239"/>
      <c r="AB36" s="239"/>
      <c r="AC36" s="240"/>
      <c r="AD36" s="240"/>
      <c r="AE36" s="240"/>
      <c r="AF36" s="240"/>
      <c r="AG36" s="241"/>
      <c r="AH36" s="241"/>
      <c r="AI36" s="241"/>
      <c r="AJ36" s="242"/>
      <c r="AK36" s="243"/>
      <c r="AL36" s="244"/>
      <c r="AM36" s="239"/>
      <c r="AN36" s="239"/>
      <c r="AO36" s="239"/>
      <c r="AP36" s="240"/>
      <c r="AQ36" s="240"/>
      <c r="AR36" s="240"/>
      <c r="AS36" s="240"/>
      <c r="AT36" s="241"/>
      <c r="AU36" s="241"/>
      <c r="AV36" s="241"/>
      <c r="AW36" s="242"/>
      <c r="AX36" s="243"/>
      <c r="AY36" s="245"/>
    </row>
    <row r="37" spans="1:51" s="268" customFormat="1" ht="15" customHeight="1" x14ac:dyDescent="0.25">
      <c r="A37" s="246"/>
      <c r="B37" s="247" t="s">
        <v>59</v>
      </c>
      <c r="C37" s="247"/>
      <c r="D37" s="247"/>
      <c r="E37" s="247"/>
      <c r="F37" s="247"/>
      <c r="G37" s="247"/>
      <c r="H37" s="248"/>
      <c r="I37" s="249"/>
      <c r="J37" s="250" t="s">
        <v>148</v>
      </c>
      <c r="K37" s="251"/>
      <c r="L37" s="252"/>
      <c r="M37" s="253"/>
      <c r="N37" s="253"/>
      <c r="O37" s="253"/>
      <c r="P37" s="253"/>
      <c r="Q37" s="253"/>
      <c r="R37" s="253"/>
      <c r="S37" s="253"/>
      <c r="T37" s="254"/>
      <c r="U37" s="254"/>
      <c r="V37" s="255"/>
      <c r="W37" s="256">
        <f t="shared" ref="W37:W38" si="0">W38</f>
        <v>8083000</v>
      </c>
      <c r="X37" s="257"/>
      <c r="Y37" s="258"/>
      <c r="Z37" s="259"/>
      <c r="AA37" s="260"/>
      <c r="AB37" s="261"/>
      <c r="AC37" s="262"/>
      <c r="AD37" s="262"/>
      <c r="AE37" s="262"/>
      <c r="AF37" s="262"/>
      <c r="AG37" s="263"/>
      <c r="AH37" s="263"/>
      <c r="AI37" s="263"/>
      <c r="AJ37" s="264"/>
      <c r="AK37" s="265"/>
      <c r="AL37" s="266"/>
      <c r="AM37" s="259"/>
      <c r="AN37" s="260"/>
      <c r="AO37" s="261"/>
      <c r="AP37" s="262"/>
      <c r="AQ37" s="262"/>
      <c r="AR37" s="262"/>
      <c r="AS37" s="262"/>
      <c r="AT37" s="263"/>
      <c r="AU37" s="263"/>
      <c r="AV37" s="263"/>
      <c r="AW37" s="264"/>
      <c r="AX37" s="265"/>
      <c r="AY37" s="267"/>
    </row>
    <row r="38" spans="1:51" s="268" customFormat="1" ht="15" customHeight="1" x14ac:dyDescent="0.25">
      <c r="A38" s="269"/>
      <c r="B38" s="270" t="s">
        <v>59</v>
      </c>
      <c r="C38" s="334" t="s">
        <v>50</v>
      </c>
      <c r="D38" s="271"/>
      <c r="E38" s="271"/>
      <c r="F38" s="272"/>
      <c r="G38" s="270"/>
      <c r="H38" s="273"/>
      <c r="I38" s="274"/>
      <c r="J38" s="275" t="s">
        <v>149</v>
      </c>
      <c r="K38" s="276"/>
      <c r="L38" s="277"/>
      <c r="M38" s="278"/>
      <c r="N38" s="278"/>
      <c r="O38" s="278"/>
      <c r="P38" s="278"/>
      <c r="Q38" s="278"/>
      <c r="R38" s="278"/>
      <c r="S38" s="278"/>
      <c r="T38" s="279"/>
      <c r="U38" s="279"/>
      <c r="V38" s="280"/>
      <c r="W38" s="281">
        <f t="shared" si="0"/>
        <v>8083000</v>
      </c>
      <c r="X38" s="257"/>
      <c r="Y38" s="258"/>
      <c r="Z38" s="259"/>
      <c r="AA38" s="261"/>
      <c r="AB38" s="261"/>
      <c r="AC38" s="262"/>
      <c r="AD38" s="262"/>
      <c r="AE38" s="262"/>
      <c r="AF38" s="262"/>
      <c r="AG38" s="263"/>
      <c r="AH38" s="263"/>
      <c r="AI38" s="263"/>
      <c r="AJ38" s="264"/>
      <c r="AK38" s="265"/>
      <c r="AL38" s="266"/>
      <c r="AM38" s="259"/>
      <c r="AN38" s="261"/>
      <c r="AO38" s="261"/>
      <c r="AP38" s="262"/>
      <c r="AQ38" s="262"/>
      <c r="AR38" s="262"/>
      <c r="AS38" s="262"/>
      <c r="AT38" s="263"/>
      <c r="AU38" s="263"/>
      <c r="AV38" s="263"/>
      <c r="AW38" s="264"/>
      <c r="AX38" s="265"/>
      <c r="AY38" s="267"/>
    </row>
    <row r="39" spans="1:51" s="268" customFormat="1" ht="15" customHeight="1" x14ac:dyDescent="0.25">
      <c r="A39" s="269"/>
      <c r="B39" s="270" t="s">
        <v>59</v>
      </c>
      <c r="C39" s="334" t="s">
        <v>50</v>
      </c>
      <c r="D39" s="288" t="s">
        <v>67</v>
      </c>
      <c r="E39" s="271"/>
      <c r="F39" s="271"/>
      <c r="G39" s="270"/>
      <c r="H39" s="273"/>
      <c r="I39" s="282"/>
      <c r="J39" s="283" t="s">
        <v>150</v>
      </c>
      <c r="K39" s="284"/>
      <c r="L39" s="285"/>
      <c r="M39" s="286"/>
      <c r="N39" s="286"/>
      <c r="O39" s="286"/>
      <c r="P39" s="286"/>
      <c r="Q39" s="286"/>
      <c r="R39" s="286"/>
      <c r="S39" s="286"/>
      <c r="T39" s="279"/>
      <c r="U39" s="279"/>
      <c r="V39" s="280"/>
      <c r="W39" s="281">
        <f>W40</f>
        <v>8083000</v>
      </c>
      <c r="X39" s="287"/>
      <c r="Y39" s="258"/>
      <c r="Z39" s="259"/>
      <c r="AA39" s="261"/>
      <c r="AB39" s="261"/>
      <c r="AC39" s="262"/>
      <c r="AD39" s="262"/>
      <c r="AE39" s="262"/>
      <c r="AF39" s="262"/>
      <c r="AG39" s="263"/>
      <c r="AH39" s="263"/>
      <c r="AI39" s="263"/>
      <c r="AJ39" s="264"/>
      <c r="AK39" s="265"/>
      <c r="AL39" s="266"/>
      <c r="AM39" s="259"/>
      <c r="AN39" s="261"/>
      <c r="AO39" s="261"/>
      <c r="AP39" s="262"/>
      <c r="AQ39" s="262"/>
      <c r="AR39" s="262"/>
      <c r="AS39" s="262"/>
      <c r="AT39" s="263"/>
      <c r="AU39" s="263"/>
      <c r="AV39" s="263"/>
      <c r="AW39" s="264"/>
      <c r="AX39" s="265"/>
      <c r="AY39" s="267"/>
    </row>
    <row r="40" spans="1:51" s="305" customFormat="1" ht="15" customHeight="1" x14ac:dyDescent="0.25">
      <c r="A40" s="269"/>
      <c r="B40" s="270" t="s">
        <v>59</v>
      </c>
      <c r="C40" s="270" t="s">
        <v>50</v>
      </c>
      <c r="D40" s="288" t="s">
        <v>67</v>
      </c>
      <c r="E40" s="288" t="s">
        <v>67</v>
      </c>
      <c r="F40" s="271"/>
      <c r="G40" s="270"/>
      <c r="H40" s="273"/>
      <c r="I40" s="289"/>
      <c r="J40" s="275" t="s">
        <v>153</v>
      </c>
      <c r="K40" s="290"/>
      <c r="L40" s="291"/>
      <c r="M40" s="292"/>
      <c r="N40" s="292"/>
      <c r="O40" s="292"/>
      <c r="P40" s="292"/>
      <c r="Q40" s="292"/>
      <c r="R40" s="292"/>
      <c r="S40" s="292"/>
      <c r="T40" s="293"/>
      <c r="U40" s="293"/>
      <c r="V40" s="294"/>
      <c r="W40" s="295">
        <f>W41</f>
        <v>8083000</v>
      </c>
      <c r="X40" s="296"/>
      <c r="Y40" s="297"/>
      <c r="Z40" s="259"/>
      <c r="AA40" s="298"/>
      <c r="AB40" s="298"/>
      <c r="AC40" s="299"/>
      <c r="AD40" s="299"/>
      <c r="AE40" s="299"/>
      <c r="AF40" s="299"/>
      <c r="AG40" s="300"/>
      <c r="AH40" s="300"/>
      <c r="AI40" s="300"/>
      <c r="AJ40" s="301"/>
      <c r="AK40" s="302"/>
      <c r="AL40" s="303"/>
      <c r="AM40" s="259"/>
      <c r="AN40" s="298"/>
      <c r="AO40" s="298"/>
      <c r="AP40" s="299"/>
      <c r="AQ40" s="299"/>
      <c r="AR40" s="299"/>
      <c r="AS40" s="299"/>
      <c r="AT40" s="300"/>
      <c r="AU40" s="300"/>
      <c r="AV40" s="300"/>
      <c r="AW40" s="301"/>
      <c r="AX40" s="302"/>
      <c r="AY40" s="304"/>
    </row>
    <row r="41" spans="1:51" s="305" customFormat="1" ht="15" customHeight="1" x14ac:dyDescent="0.25">
      <c r="A41" s="269"/>
      <c r="B41" s="270" t="s">
        <v>59</v>
      </c>
      <c r="C41" s="270" t="s">
        <v>50</v>
      </c>
      <c r="D41" s="288" t="s">
        <v>67</v>
      </c>
      <c r="E41" s="288" t="s">
        <v>67</v>
      </c>
      <c r="F41" s="271" t="s">
        <v>65</v>
      </c>
      <c r="G41" s="270"/>
      <c r="H41" s="273"/>
      <c r="I41" s="289"/>
      <c r="J41" s="275" t="s">
        <v>154</v>
      </c>
      <c r="K41" s="290"/>
      <c r="L41" s="291"/>
      <c r="M41" s="292"/>
      <c r="N41" s="292"/>
      <c r="O41" s="292"/>
      <c r="P41" s="292"/>
      <c r="Q41" s="292"/>
      <c r="R41" s="292"/>
      <c r="S41" s="292"/>
      <c r="T41" s="293"/>
      <c r="U41" s="293"/>
      <c r="V41" s="294"/>
      <c r="W41" s="295">
        <f>W42</f>
        <v>8083000</v>
      </c>
      <c r="X41" s="296"/>
      <c r="Y41" s="297"/>
      <c r="Z41" s="259"/>
      <c r="AA41" s="298"/>
      <c r="AB41" s="298"/>
      <c r="AC41" s="299"/>
      <c r="AD41" s="299"/>
      <c r="AE41" s="299"/>
      <c r="AF41" s="299"/>
      <c r="AG41" s="300"/>
      <c r="AH41" s="300"/>
      <c r="AI41" s="300"/>
      <c r="AJ41" s="301"/>
      <c r="AK41" s="302"/>
      <c r="AL41" s="303"/>
      <c r="AM41" s="259"/>
      <c r="AN41" s="298"/>
      <c r="AO41" s="298"/>
      <c r="AP41" s="299"/>
      <c r="AQ41" s="299"/>
      <c r="AR41" s="299"/>
      <c r="AS41" s="299"/>
      <c r="AT41" s="300"/>
      <c r="AU41" s="300"/>
      <c r="AV41" s="300"/>
      <c r="AW41" s="301"/>
      <c r="AX41" s="302"/>
      <c r="AY41" s="304"/>
    </row>
    <row r="42" spans="1:51" s="330" customFormat="1" ht="15" customHeight="1" x14ac:dyDescent="0.25">
      <c r="A42" s="306"/>
      <c r="B42" s="307" t="s">
        <v>59</v>
      </c>
      <c r="C42" s="307" t="s">
        <v>50</v>
      </c>
      <c r="D42" s="309" t="s">
        <v>67</v>
      </c>
      <c r="E42" s="309" t="s">
        <v>67</v>
      </c>
      <c r="F42" s="308" t="s">
        <v>65</v>
      </c>
      <c r="G42" s="310" t="s">
        <v>715</v>
      </c>
      <c r="H42" s="311"/>
      <c r="I42" s="312"/>
      <c r="J42" s="313" t="s">
        <v>716</v>
      </c>
      <c r="K42" s="314"/>
      <c r="L42" s="315"/>
      <c r="M42" s="316"/>
      <c r="N42" s="316"/>
      <c r="O42" s="316"/>
      <c r="P42" s="316"/>
      <c r="Q42" s="316"/>
      <c r="R42" s="316"/>
      <c r="S42" s="316"/>
      <c r="T42" s="317"/>
      <c r="U42" s="317"/>
      <c r="V42" s="318"/>
      <c r="W42" s="319">
        <f>SUM(W43:W63)</f>
        <v>8083000</v>
      </c>
      <c r="X42" s="320"/>
      <c r="Y42" s="321"/>
      <c r="Z42" s="322"/>
      <c r="AA42" s="323"/>
      <c r="AB42" s="323"/>
      <c r="AC42" s="324"/>
      <c r="AD42" s="324"/>
      <c r="AE42" s="324"/>
      <c r="AF42" s="324"/>
      <c r="AG42" s="325"/>
      <c r="AH42" s="325"/>
      <c r="AI42" s="325"/>
      <c r="AJ42" s="326"/>
      <c r="AK42" s="327"/>
      <c r="AL42" s="328"/>
      <c r="AM42" s="322"/>
      <c r="AN42" s="323"/>
      <c r="AO42" s="323"/>
      <c r="AP42" s="324"/>
      <c r="AQ42" s="324"/>
      <c r="AR42" s="324"/>
      <c r="AS42" s="324"/>
      <c r="AT42" s="325"/>
      <c r="AU42" s="325"/>
      <c r="AV42" s="325"/>
      <c r="AW42" s="326"/>
      <c r="AX42" s="327"/>
      <c r="AY42" s="329"/>
    </row>
    <row r="43" spans="1:51" s="330" customFormat="1" ht="15" customHeight="1" x14ac:dyDescent="0.25">
      <c r="A43" s="306"/>
      <c r="B43" s="307"/>
      <c r="C43" s="307"/>
      <c r="D43" s="309"/>
      <c r="E43" s="309"/>
      <c r="F43" s="308"/>
      <c r="G43" s="310"/>
      <c r="H43" s="311"/>
      <c r="I43" s="312"/>
      <c r="J43" s="331" t="s">
        <v>749</v>
      </c>
      <c r="K43" s="314"/>
      <c r="L43" s="316">
        <v>2</v>
      </c>
      <c r="M43" s="316" t="s">
        <v>656</v>
      </c>
      <c r="N43" s="316" t="s">
        <v>658</v>
      </c>
      <c r="O43" s="316">
        <v>4</v>
      </c>
      <c r="P43" s="316" t="s">
        <v>750</v>
      </c>
      <c r="Q43" s="316" t="s">
        <v>658</v>
      </c>
      <c r="R43" s="316">
        <v>3</v>
      </c>
      <c r="S43" s="316" t="s">
        <v>155</v>
      </c>
      <c r="T43" s="317">
        <f>L43*O43*R43</f>
        <v>24</v>
      </c>
      <c r="U43" s="317" t="s">
        <v>657</v>
      </c>
      <c r="V43" s="318">
        <v>40000</v>
      </c>
      <c r="W43" s="484">
        <f>T43*V43</f>
        <v>960000</v>
      </c>
      <c r="X43" s="320" t="s">
        <v>649</v>
      </c>
      <c r="Y43" s="321"/>
      <c r="Z43" s="321"/>
      <c r="AA43" s="321"/>
      <c r="AB43" s="321"/>
      <c r="AC43" s="324"/>
      <c r="AD43" s="324"/>
      <c r="AE43" s="324"/>
      <c r="AF43" s="324"/>
      <c r="AG43" s="325"/>
      <c r="AH43" s="325"/>
      <c r="AI43" s="325"/>
      <c r="AJ43" s="326"/>
      <c r="AK43" s="332">
        <f t="shared" ref="AK43:AK60" si="1">SUM(Y43:AJ43)</f>
        <v>0</v>
      </c>
      <c r="AL43" s="328"/>
      <c r="AM43" s="322"/>
      <c r="AN43" s="323"/>
      <c r="AO43" s="323"/>
      <c r="AP43" s="324"/>
      <c r="AQ43" s="324"/>
      <c r="AR43" s="324"/>
      <c r="AS43" s="324"/>
      <c r="AT43" s="325"/>
      <c r="AU43" s="325"/>
      <c r="AV43" s="325"/>
      <c r="AW43" s="326"/>
      <c r="AX43" s="332">
        <f t="shared" ref="AX43" si="2">SUM(AL43:AW43)</f>
        <v>0</v>
      </c>
      <c r="AY43" s="333">
        <f t="shared" ref="AY43" si="3">AK43-AX43</f>
        <v>0</v>
      </c>
    </row>
    <row r="44" spans="1:51" s="330" customFormat="1" ht="15" customHeight="1" x14ac:dyDescent="0.25">
      <c r="A44" s="306"/>
      <c r="B44" s="307"/>
      <c r="C44" s="307"/>
      <c r="D44" s="309"/>
      <c r="E44" s="309"/>
      <c r="F44" s="308"/>
      <c r="G44" s="310"/>
      <c r="H44" s="311"/>
      <c r="I44" s="312"/>
      <c r="J44" s="283" t="s">
        <v>745</v>
      </c>
      <c r="K44" s="314"/>
      <c r="L44" s="315"/>
      <c r="M44" s="316"/>
      <c r="N44" s="316"/>
      <c r="O44" s="316"/>
      <c r="P44" s="316"/>
      <c r="Q44" s="316"/>
      <c r="R44" s="316"/>
      <c r="S44" s="316"/>
      <c r="T44" s="317"/>
      <c r="U44" s="317"/>
      <c r="V44" s="318"/>
      <c r="W44" s="319"/>
      <c r="X44" s="320"/>
      <c r="Y44" s="321"/>
      <c r="Z44" s="322"/>
      <c r="AA44" s="323"/>
      <c r="AB44" s="323"/>
      <c r="AC44" s="324"/>
      <c r="AD44" s="324"/>
      <c r="AE44" s="324"/>
      <c r="AF44" s="324"/>
      <c r="AG44" s="325"/>
      <c r="AH44" s="325"/>
      <c r="AI44" s="325"/>
      <c r="AJ44" s="326"/>
      <c r="AK44" s="327"/>
      <c r="AL44" s="328"/>
      <c r="AM44" s="322"/>
      <c r="AN44" s="323"/>
      <c r="AO44" s="323"/>
      <c r="AP44" s="324"/>
      <c r="AQ44" s="324"/>
      <c r="AR44" s="324"/>
      <c r="AS44" s="324"/>
      <c r="AT44" s="325"/>
      <c r="AU44" s="325"/>
      <c r="AV44" s="325"/>
      <c r="AW44" s="326"/>
      <c r="AX44" s="327"/>
      <c r="AY44" s="329"/>
    </row>
    <row r="45" spans="1:51" s="330" customFormat="1" ht="15" customHeight="1" x14ac:dyDescent="0.25">
      <c r="A45" s="306"/>
      <c r="B45" s="307"/>
      <c r="C45" s="307"/>
      <c r="D45" s="308"/>
      <c r="E45" s="308"/>
      <c r="F45" s="308"/>
      <c r="G45" s="307"/>
      <c r="H45" s="311"/>
      <c r="I45" s="312"/>
      <c r="J45" s="331" t="s">
        <v>652</v>
      </c>
      <c r="K45" s="314"/>
      <c r="L45" s="315"/>
      <c r="M45" s="316"/>
      <c r="N45" s="316"/>
      <c r="O45" s="316">
        <v>1</v>
      </c>
      <c r="P45" s="316" t="s">
        <v>656</v>
      </c>
      <c r="Q45" s="316" t="s">
        <v>658</v>
      </c>
      <c r="R45" s="316">
        <v>3</v>
      </c>
      <c r="S45" s="316" t="s">
        <v>155</v>
      </c>
      <c r="T45" s="317">
        <f>O45*R45</f>
        <v>3</v>
      </c>
      <c r="U45" s="317" t="s">
        <v>657</v>
      </c>
      <c r="V45" s="318">
        <v>75000</v>
      </c>
      <c r="W45" s="484">
        <f>T45*V45</f>
        <v>225000</v>
      </c>
      <c r="X45" s="320" t="s">
        <v>649</v>
      </c>
      <c r="Y45" s="321"/>
      <c r="Z45" s="322"/>
      <c r="AA45" s="323"/>
      <c r="AB45" s="323"/>
      <c r="AC45" s="324"/>
      <c r="AD45" s="324"/>
      <c r="AE45" s="324"/>
      <c r="AF45" s="324"/>
      <c r="AG45" s="325"/>
      <c r="AH45" s="325"/>
      <c r="AI45" s="325"/>
      <c r="AJ45" s="326"/>
      <c r="AK45" s="332">
        <f t="shared" si="1"/>
        <v>0</v>
      </c>
      <c r="AL45" s="328"/>
      <c r="AM45" s="322"/>
      <c r="AN45" s="323"/>
      <c r="AO45" s="323"/>
      <c r="AP45" s="324"/>
      <c r="AQ45" s="324"/>
      <c r="AR45" s="324"/>
      <c r="AS45" s="324"/>
      <c r="AT45" s="325"/>
      <c r="AU45" s="325"/>
      <c r="AV45" s="325"/>
      <c r="AW45" s="326"/>
      <c r="AX45" s="332">
        <f t="shared" ref="AX45:AX47" si="4">SUM(AL45:AW45)</f>
        <v>0</v>
      </c>
      <c r="AY45" s="333">
        <f t="shared" ref="AY45:AY47" si="5">AK45-AX45</f>
        <v>0</v>
      </c>
    </row>
    <row r="46" spans="1:51" s="330" customFormat="1" ht="15" customHeight="1" x14ac:dyDescent="0.25">
      <c r="A46" s="306"/>
      <c r="B46" s="307"/>
      <c r="C46" s="307"/>
      <c r="D46" s="308"/>
      <c r="E46" s="308"/>
      <c r="F46" s="308"/>
      <c r="G46" s="307"/>
      <c r="H46" s="311"/>
      <c r="I46" s="312"/>
      <c r="J46" s="331" t="s">
        <v>654</v>
      </c>
      <c r="K46" s="314"/>
      <c r="L46" s="315"/>
      <c r="M46" s="316"/>
      <c r="N46" s="316"/>
      <c r="O46" s="316">
        <v>1</v>
      </c>
      <c r="P46" s="316" t="s">
        <v>656</v>
      </c>
      <c r="Q46" s="316" t="s">
        <v>658</v>
      </c>
      <c r="R46" s="316">
        <v>3</v>
      </c>
      <c r="S46" s="316" t="s">
        <v>155</v>
      </c>
      <c r="T46" s="317">
        <f>O46*R46</f>
        <v>3</v>
      </c>
      <c r="U46" s="317" t="s">
        <v>657</v>
      </c>
      <c r="V46" s="318">
        <v>65000</v>
      </c>
      <c r="W46" s="484">
        <f>T46*V46</f>
        <v>195000</v>
      </c>
      <c r="X46" s="320" t="s">
        <v>649</v>
      </c>
      <c r="Y46" s="321"/>
      <c r="Z46" s="322"/>
      <c r="AA46" s="323"/>
      <c r="AB46" s="323"/>
      <c r="AC46" s="324"/>
      <c r="AD46" s="324"/>
      <c r="AE46" s="324"/>
      <c r="AF46" s="324"/>
      <c r="AG46" s="325"/>
      <c r="AH46" s="325"/>
      <c r="AI46" s="325"/>
      <c r="AJ46" s="326"/>
      <c r="AK46" s="332">
        <f t="shared" si="1"/>
        <v>0</v>
      </c>
      <c r="AL46" s="328"/>
      <c r="AM46" s="322"/>
      <c r="AN46" s="323"/>
      <c r="AO46" s="323"/>
      <c r="AP46" s="324"/>
      <c r="AQ46" s="324"/>
      <c r="AR46" s="324"/>
      <c r="AS46" s="324"/>
      <c r="AT46" s="325"/>
      <c r="AU46" s="325"/>
      <c r="AV46" s="325"/>
      <c r="AW46" s="326"/>
      <c r="AX46" s="332">
        <f t="shared" si="4"/>
        <v>0</v>
      </c>
      <c r="AY46" s="333">
        <f t="shared" si="5"/>
        <v>0</v>
      </c>
    </row>
    <row r="47" spans="1:51" s="330" customFormat="1" ht="15" customHeight="1" x14ac:dyDescent="0.25">
      <c r="A47" s="306"/>
      <c r="B47" s="307"/>
      <c r="C47" s="307"/>
      <c r="D47" s="309"/>
      <c r="E47" s="309"/>
      <c r="F47" s="308"/>
      <c r="G47" s="310"/>
      <c r="H47" s="311"/>
      <c r="I47" s="312"/>
      <c r="J47" s="331" t="s">
        <v>655</v>
      </c>
      <c r="K47" s="314"/>
      <c r="L47" s="315"/>
      <c r="M47" s="316"/>
      <c r="N47" s="316"/>
      <c r="O47" s="316">
        <v>1</v>
      </c>
      <c r="P47" s="316" t="s">
        <v>656</v>
      </c>
      <c r="Q47" s="316" t="s">
        <v>658</v>
      </c>
      <c r="R47" s="316">
        <v>3</v>
      </c>
      <c r="S47" s="316" t="s">
        <v>155</v>
      </c>
      <c r="T47" s="317">
        <f>O47*R47</f>
        <v>3</v>
      </c>
      <c r="U47" s="317" t="s">
        <v>657</v>
      </c>
      <c r="V47" s="318">
        <v>60000</v>
      </c>
      <c r="W47" s="484">
        <f>T47*V47</f>
        <v>180000</v>
      </c>
      <c r="X47" s="320" t="s">
        <v>649</v>
      </c>
      <c r="Y47" s="321"/>
      <c r="Z47" s="322"/>
      <c r="AA47" s="323"/>
      <c r="AB47" s="323"/>
      <c r="AC47" s="324"/>
      <c r="AD47" s="324"/>
      <c r="AE47" s="324"/>
      <c r="AF47" s="324"/>
      <c r="AG47" s="325"/>
      <c r="AH47" s="325"/>
      <c r="AI47" s="325"/>
      <c r="AJ47" s="326"/>
      <c r="AK47" s="332">
        <f t="shared" si="1"/>
        <v>0</v>
      </c>
      <c r="AL47" s="328"/>
      <c r="AM47" s="322"/>
      <c r="AN47" s="323"/>
      <c r="AO47" s="323"/>
      <c r="AP47" s="324"/>
      <c r="AQ47" s="324"/>
      <c r="AR47" s="324"/>
      <c r="AS47" s="324"/>
      <c r="AT47" s="325"/>
      <c r="AU47" s="325"/>
      <c r="AV47" s="325"/>
      <c r="AW47" s="326"/>
      <c r="AX47" s="332">
        <f t="shared" si="4"/>
        <v>0</v>
      </c>
      <c r="AY47" s="333">
        <f t="shared" si="5"/>
        <v>0</v>
      </c>
    </row>
    <row r="48" spans="1:51" s="330" customFormat="1" ht="15" customHeight="1" x14ac:dyDescent="0.25">
      <c r="A48" s="306"/>
      <c r="B48" s="307"/>
      <c r="C48" s="307"/>
      <c r="D48" s="309"/>
      <c r="E48" s="309"/>
      <c r="F48" s="308"/>
      <c r="G48" s="310"/>
      <c r="H48" s="311"/>
      <c r="I48" s="312"/>
      <c r="J48" s="331" t="s">
        <v>38</v>
      </c>
      <c r="K48" s="314"/>
      <c r="L48" s="315"/>
      <c r="M48" s="316"/>
      <c r="N48" s="316"/>
      <c r="O48" s="316">
        <v>2</v>
      </c>
      <c r="P48" s="316" t="s">
        <v>656</v>
      </c>
      <c r="Q48" s="316" t="s">
        <v>658</v>
      </c>
      <c r="R48" s="316">
        <v>3</v>
      </c>
      <c r="S48" s="316" t="s">
        <v>747</v>
      </c>
      <c r="T48" s="317">
        <f>O48*R48</f>
        <v>6</v>
      </c>
      <c r="U48" s="317" t="s">
        <v>726</v>
      </c>
      <c r="V48" s="318">
        <v>125000</v>
      </c>
      <c r="W48" s="484">
        <f>T48*V48</f>
        <v>750000</v>
      </c>
      <c r="X48" s="320" t="s">
        <v>649</v>
      </c>
      <c r="Y48" s="321"/>
      <c r="Z48" s="322"/>
      <c r="AA48" s="323"/>
      <c r="AB48" s="323"/>
      <c r="AC48" s="324"/>
      <c r="AD48" s="324"/>
      <c r="AE48" s="324"/>
      <c r="AF48" s="324"/>
      <c r="AG48" s="325"/>
      <c r="AH48" s="325"/>
      <c r="AI48" s="325"/>
      <c r="AJ48" s="326"/>
      <c r="AK48" s="332">
        <f t="shared" si="1"/>
        <v>0</v>
      </c>
      <c r="AL48" s="328"/>
      <c r="AM48" s="322"/>
      <c r="AN48" s="323"/>
      <c r="AO48" s="323"/>
      <c r="AP48" s="324"/>
      <c r="AQ48" s="324"/>
      <c r="AR48" s="324"/>
      <c r="AS48" s="324"/>
      <c r="AT48" s="325"/>
      <c r="AU48" s="325"/>
      <c r="AV48" s="325"/>
      <c r="AW48" s="326"/>
      <c r="AX48" s="332">
        <f t="shared" ref="AX48" si="6">SUM(AL48:AW48)</f>
        <v>0</v>
      </c>
      <c r="AY48" s="333">
        <f t="shared" ref="AY48" si="7">AK48-AX48</f>
        <v>0</v>
      </c>
    </row>
    <row r="49" spans="1:51" s="330" customFormat="1" ht="15" customHeight="1" x14ac:dyDescent="0.25">
      <c r="A49" s="306"/>
      <c r="B49" s="307"/>
      <c r="C49" s="307"/>
      <c r="D49" s="309"/>
      <c r="E49" s="309"/>
      <c r="F49" s="308"/>
      <c r="G49" s="310"/>
      <c r="H49" s="311"/>
      <c r="I49" s="312"/>
      <c r="J49" s="283" t="s">
        <v>746</v>
      </c>
      <c r="K49" s="314"/>
      <c r="L49" s="315"/>
      <c r="M49" s="316"/>
      <c r="N49" s="316"/>
      <c r="O49" s="316"/>
      <c r="P49" s="316"/>
      <c r="Q49" s="316"/>
      <c r="R49" s="316"/>
      <c r="S49" s="316"/>
      <c r="T49" s="317"/>
      <c r="U49" s="317"/>
      <c r="V49" s="318"/>
      <c r="W49" s="319"/>
      <c r="X49" s="320"/>
      <c r="Y49" s="321"/>
      <c r="Z49" s="322"/>
      <c r="AA49" s="323"/>
      <c r="AB49" s="323"/>
      <c r="AC49" s="324"/>
      <c r="AD49" s="324"/>
      <c r="AE49" s="324"/>
      <c r="AF49" s="324"/>
      <c r="AG49" s="325"/>
      <c r="AH49" s="325"/>
      <c r="AI49" s="325"/>
      <c r="AJ49" s="326"/>
      <c r="AK49" s="332"/>
      <c r="AL49" s="328"/>
      <c r="AM49" s="322"/>
      <c r="AN49" s="323"/>
      <c r="AO49" s="323"/>
      <c r="AP49" s="324"/>
      <c r="AQ49" s="324"/>
      <c r="AR49" s="324"/>
      <c r="AS49" s="324"/>
      <c r="AT49" s="325"/>
      <c r="AU49" s="325"/>
      <c r="AV49" s="325"/>
      <c r="AW49" s="326"/>
      <c r="AX49" s="332"/>
      <c r="AY49" s="333"/>
    </row>
    <row r="50" spans="1:51" s="330" customFormat="1" ht="15" customHeight="1" x14ac:dyDescent="0.25">
      <c r="A50" s="306"/>
      <c r="B50" s="307"/>
      <c r="C50" s="307"/>
      <c r="D50" s="309"/>
      <c r="E50" s="309"/>
      <c r="F50" s="308"/>
      <c r="G50" s="310"/>
      <c r="H50" s="311"/>
      <c r="I50" s="312"/>
      <c r="J50" s="331" t="s">
        <v>652</v>
      </c>
      <c r="K50" s="314"/>
      <c r="L50" s="315"/>
      <c r="M50" s="316"/>
      <c r="N50" s="316"/>
      <c r="O50" s="316">
        <v>1</v>
      </c>
      <c r="P50" s="316" t="s">
        <v>656</v>
      </c>
      <c r="Q50" s="316" t="s">
        <v>658</v>
      </c>
      <c r="R50" s="316">
        <v>3</v>
      </c>
      <c r="S50" s="316" t="s">
        <v>155</v>
      </c>
      <c r="T50" s="317">
        <f>O50*R50</f>
        <v>3</v>
      </c>
      <c r="U50" s="317" t="s">
        <v>657</v>
      </c>
      <c r="V50" s="318">
        <v>75000</v>
      </c>
      <c r="W50" s="484">
        <f>T50*V50</f>
        <v>225000</v>
      </c>
      <c r="X50" s="320" t="s">
        <v>649</v>
      </c>
      <c r="Y50" s="321"/>
      <c r="Z50" s="322"/>
      <c r="AA50" s="323"/>
      <c r="AB50" s="323"/>
      <c r="AC50" s="324"/>
      <c r="AD50" s="324"/>
      <c r="AE50" s="324"/>
      <c r="AF50" s="324"/>
      <c r="AG50" s="325"/>
      <c r="AH50" s="325"/>
      <c r="AI50" s="325"/>
      <c r="AJ50" s="326"/>
      <c r="AK50" s="332">
        <f t="shared" si="1"/>
        <v>0</v>
      </c>
      <c r="AL50" s="328"/>
      <c r="AM50" s="322"/>
      <c r="AN50" s="323"/>
      <c r="AO50" s="323"/>
      <c r="AP50" s="324"/>
      <c r="AQ50" s="324"/>
      <c r="AR50" s="324"/>
      <c r="AS50" s="324"/>
      <c r="AT50" s="325"/>
      <c r="AU50" s="325"/>
      <c r="AV50" s="325"/>
      <c r="AW50" s="326"/>
      <c r="AX50" s="332">
        <f t="shared" ref="AX50:AX52" si="8">SUM(AL50:AW50)</f>
        <v>0</v>
      </c>
      <c r="AY50" s="333">
        <f t="shared" ref="AY50:AY52" si="9">AK50-AX50</f>
        <v>0</v>
      </c>
    </row>
    <row r="51" spans="1:51" s="330" customFormat="1" ht="15" customHeight="1" x14ac:dyDescent="0.25">
      <c r="A51" s="306"/>
      <c r="B51" s="307"/>
      <c r="C51" s="307"/>
      <c r="D51" s="309"/>
      <c r="E51" s="309"/>
      <c r="F51" s="308"/>
      <c r="G51" s="310"/>
      <c r="H51" s="311"/>
      <c r="I51" s="312"/>
      <c r="J51" s="331" t="s">
        <v>654</v>
      </c>
      <c r="K51" s="314"/>
      <c r="L51" s="315"/>
      <c r="M51" s="316"/>
      <c r="N51" s="316"/>
      <c r="O51" s="316">
        <v>1</v>
      </c>
      <c r="P51" s="316" t="s">
        <v>656</v>
      </c>
      <c r="Q51" s="316" t="s">
        <v>658</v>
      </c>
      <c r="R51" s="316">
        <v>3</v>
      </c>
      <c r="S51" s="316" t="s">
        <v>155</v>
      </c>
      <c r="T51" s="317">
        <f>O51*R51</f>
        <v>3</v>
      </c>
      <c r="U51" s="317" t="s">
        <v>657</v>
      </c>
      <c r="V51" s="318">
        <v>65000</v>
      </c>
      <c r="W51" s="484">
        <f>T51*V51</f>
        <v>195000</v>
      </c>
      <c r="X51" s="320" t="s">
        <v>649</v>
      </c>
      <c r="Y51" s="321"/>
      <c r="Z51" s="322"/>
      <c r="AA51" s="323"/>
      <c r="AB51" s="323"/>
      <c r="AC51" s="324"/>
      <c r="AD51" s="324"/>
      <c r="AE51" s="324"/>
      <c r="AF51" s="324"/>
      <c r="AG51" s="325"/>
      <c r="AH51" s="325"/>
      <c r="AI51" s="325"/>
      <c r="AJ51" s="326"/>
      <c r="AK51" s="332">
        <f t="shared" si="1"/>
        <v>0</v>
      </c>
      <c r="AL51" s="328"/>
      <c r="AM51" s="322"/>
      <c r="AN51" s="323"/>
      <c r="AO51" s="323"/>
      <c r="AP51" s="324"/>
      <c r="AQ51" s="324"/>
      <c r="AR51" s="324"/>
      <c r="AS51" s="324"/>
      <c r="AT51" s="325"/>
      <c r="AU51" s="325"/>
      <c r="AV51" s="325"/>
      <c r="AW51" s="326"/>
      <c r="AX51" s="332">
        <f t="shared" si="8"/>
        <v>0</v>
      </c>
      <c r="AY51" s="333">
        <f t="shared" si="9"/>
        <v>0</v>
      </c>
    </row>
    <row r="52" spans="1:51" s="330" customFormat="1" ht="15" customHeight="1" x14ac:dyDescent="0.25">
      <c r="A52" s="306"/>
      <c r="B52" s="307"/>
      <c r="C52" s="307"/>
      <c r="D52" s="309"/>
      <c r="E52" s="309"/>
      <c r="F52" s="308"/>
      <c r="G52" s="310"/>
      <c r="H52" s="311"/>
      <c r="I52" s="312"/>
      <c r="J52" s="331" t="s">
        <v>655</v>
      </c>
      <c r="K52" s="314"/>
      <c r="L52" s="315"/>
      <c r="M52" s="316"/>
      <c r="N52" s="316"/>
      <c r="O52" s="316">
        <v>1</v>
      </c>
      <c r="P52" s="316" t="s">
        <v>656</v>
      </c>
      <c r="Q52" s="316" t="s">
        <v>658</v>
      </c>
      <c r="R52" s="316">
        <v>3</v>
      </c>
      <c r="S52" s="316" t="s">
        <v>155</v>
      </c>
      <c r="T52" s="317">
        <f>O52*R52</f>
        <v>3</v>
      </c>
      <c r="U52" s="317" t="s">
        <v>657</v>
      </c>
      <c r="V52" s="318">
        <v>60000</v>
      </c>
      <c r="W52" s="484">
        <f>T52*V52</f>
        <v>180000</v>
      </c>
      <c r="X52" s="320" t="s">
        <v>649</v>
      </c>
      <c r="Y52" s="321"/>
      <c r="Z52" s="322"/>
      <c r="AA52" s="323"/>
      <c r="AB52" s="323"/>
      <c r="AC52" s="324"/>
      <c r="AD52" s="324"/>
      <c r="AE52" s="324"/>
      <c r="AF52" s="324"/>
      <c r="AG52" s="325"/>
      <c r="AH52" s="325"/>
      <c r="AI52" s="325"/>
      <c r="AJ52" s="326"/>
      <c r="AK52" s="332">
        <f t="shared" si="1"/>
        <v>0</v>
      </c>
      <c r="AL52" s="328"/>
      <c r="AM52" s="322"/>
      <c r="AN52" s="323"/>
      <c r="AO52" s="323"/>
      <c r="AP52" s="324"/>
      <c r="AQ52" s="324"/>
      <c r="AR52" s="324"/>
      <c r="AS52" s="324"/>
      <c r="AT52" s="325"/>
      <c r="AU52" s="325"/>
      <c r="AV52" s="325"/>
      <c r="AW52" s="326"/>
      <c r="AX52" s="332">
        <f t="shared" si="8"/>
        <v>0</v>
      </c>
      <c r="AY52" s="333">
        <f t="shared" si="9"/>
        <v>0</v>
      </c>
    </row>
    <row r="53" spans="1:51" s="330" customFormat="1" ht="15" customHeight="1" x14ac:dyDescent="0.25">
      <c r="A53" s="306"/>
      <c r="B53" s="307"/>
      <c r="C53" s="307"/>
      <c r="D53" s="309"/>
      <c r="E53" s="309"/>
      <c r="F53" s="308"/>
      <c r="G53" s="310"/>
      <c r="H53" s="311"/>
      <c r="I53" s="312"/>
      <c r="J53" s="331" t="s">
        <v>38</v>
      </c>
      <c r="K53" s="314"/>
      <c r="L53" s="315"/>
      <c r="M53" s="316"/>
      <c r="N53" s="316"/>
      <c r="O53" s="316">
        <v>2</v>
      </c>
      <c r="P53" s="316" t="s">
        <v>656</v>
      </c>
      <c r="Q53" s="316" t="s">
        <v>658</v>
      </c>
      <c r="R53" s="316">
        <v>3</v>
      </c>
      <c r="S53" s="316" t="s">
        <v>747</v>
      </c>
      <c r="T53" s="317">
        <f>O53*R53</f>
        <v>6</v>
      </c>
      <c r="U53" s="317" t="s">
        <v>726</v>
      </c>
      <c r="V53" s="318">
        <v>125000</v>
      </c>
      <c r="W53" s="484">
        <f>T53*V53</f>
        <v>750000</v>
      </c>
      <c r="X53" s="320" t="s">
        <v>649</v>
      </c>
      <c r="Y53" s="321"/>
      <c r="Z53" s="322"/>
      <c r="AA53" s="323"/>
      <c r="AB53" s="323"/>
      <c r="AC53" s="324"/>
      <c r="AD53" s="324"/>
      <c r="AE53" s="324"/>
      <c r="AF53" s="324"/>
      <c r="AG53" s="325"/>
      <c r="AH53" s="325"/>
      <c r="AI53" s="325"/>
      <c r="AJ53" s="326"/>
      <c r="AK53" s="332">
        <f t="shared" si="1"/>
        <v>0</v>
      </c>
      <c r="AL53" s="328"/>
      <c r="AM53" s="322"/>
      <c r="AN53" s="323"/>
      <c r="AO53" s="323"/>
      <c r="AP53" s="324"/>
      <c r="AQ53" s="324"/>
      <c r="AR53" s="324"/>
      <c r="AS53" s="324"/>
      <c r="AT53" s="325"/>
      <c r="AU53" s="325"/>
      <c r="AV53" s="325"/>
      <c r="AW53" s="326"/>
      <c r="AX53" s="332">
        <f t="shared" ref="AX53" si="10">SUM(AL53:AW53)</f>
        <v>0</v>
      </c>
      <c r="AY53" s="333">
        <f t="shared" ref="AY53" si="11">AK53-AX53</f>
        <v>0</v>
      </c>
    </row>
    <row r="54" spans="1:51" s="330" customFormat="1" ht="15" customHeight="1" x14ac:dyDescent="0.25">
      <c r="A54" s="306"/>
      <c r="B54" s="307"/>
      <c r="C54" s="307"/>
      <c r="D54" s="309"/>
      <c r="E54" s="309"/>
      <c r="F54" s="308"/>
      <c r="G54" s="310"/>
      <c r="H54" s="311"/>
      <c r="I54" s="312"/>
      <c r="J54" s="283" t="s">
        <v>748</v>
      </c>
      <c r="K54" s="314"/>
      <c r="L54" s="315"/>
      <c r="M54" s="316"/>
      <c r="N54" s="316"/>
      <c r="O54" s="316"/>
      <c r="P54" s="316"/>
      <c r="Q54" s="316"/>
      <c r="R54" s="316"/>
      <c r="S54" s="316"/>
      <c r="T54" s="317"/>
      <c r="U54" s="317"/>
      <c r="V54" s="318"/>
      <c r="W54" s="319"/>
      <c r="X54" s="320"/>
      <c r="Y54" s="321"/>
      <c r="Z54" s="322"/>
      <c r="AA54" s="323"/>
      <c r="AB54" s="323"/>
      <c r="AC54" s="324"/>
      <c r="AD54" s="324"/>
      <c r="AE54" s="324"/>
      <c r="AF54" s="324"/>
      <c r="AG54" s="325"/>
      <c r="AH54" s="325"/>
      <c r="AI54" s="325"/>
      <c r="AJ54" s="326"/>
      <c r="AK54" s="332"/>
      <c r="AL54" s="328"/>
      <c r="AM54" s="322"/>
      <c r="AN54" s="323"/>
      <c r="AO54" s="323"/>
      <c r="AP54" s="324"/>
      <c r="AQ54" s="324"/>
      <c r="AR54" s="324"/>
      <c r="AS54" s="324"/>
      <c r="AT54" s="325"/>
      <c r="AU54" s="325"/>
      <c r="AV54" s="325"/>
      <c r="AW54" s="326"/>
      <c r="AX54" s="332"/>
      <c r="AY54" s="333"/>
    </row>
    <row r="55" spans="1:51" s="330" customFormat="1" ht="15" customHeight="1" x14ac:dyDescent="0.25">
      <c r="A55" s="306"/>
      <c r="B55" s="307"/>
      <c r="C55" s="307"/>
      <c r="D55" s="309"/>
      <c r="E55" s="309"/>
      <c r="F55" s="308"/>
      <c r="G55" s="310"/>
      <c r="H55" s="311"/>
      <c r="I55" s="312"/>
      <c r="J55" s="331" t="s">
        <v>751</v>
      </c>
      <c r="K55" s="314"/>
      <c r="L55" s="315"/>
      <c r="M55" s="316"/>
      <c r="N55" s="316"/>
      <c r="O55" s="316">
        <v>1</v>
      </c>
      <c r="P55" s="316" t="s">
        <v>656</v>
      </c>
      <c r="Q55" s="316" t="s">
        <v>658</v>
      </c>
      <c r="R55" s="316">
        <v>17</v>
      </c>
      <c r="S55" s="460" t="s">
        <v>752</v>
      </c>
      <c r="T55" s="317">
        <f t="shared" ref="T55:T60" si="12">O55*R55</f>
        <v>17</v>
      </c>
      <c r="U55" s="317" t="s">
        <v>752</v>
      </c>
      <c r="V55" s="318">
        <v>25000</v>
      </c>
      <c r="W55" s="484">
        <f t="shared" ref="W55:W63" si="13">T55*V55</f>
        <v>425000</v>
      </c>
      <c r="X55" s="320" t="s">
        <v>649</v>
      </c>
      <c r="Y55" s="321"/>
      <c r="Z55" s="322"/>
      <c r="AA55" s="323"/>
      <c r="AB55" s="323"/>
      <c r="AC55" s="324"/>
      <c r="AD55" s="324"/>
      <c r="AE55" s="324"/>
      <c r="AF55" s="324"/>
      <c r="AG55" s="325"/>
      <c r="AH55" s="325"/>
      <c r="AI55" s="325"/>
      <c r="AJ55" s="326"/>
      <c r="AK55" s="332">
        <f t="shared" si="1"/>
        <v>0</v>
      </c>
      <c r="AL55" s="328"/>
      <c r="AM55" s="322"/>
      <c r="AN55" s="323"/>
      <c r="AO55" s="323"/>
      <c r="AP55" s="324"/>
      <c r="AQ55" s="324"/>
      <c r="AR55" s="324"/>
      <c r="AS55" s="324"/>
      <c r="AT55" s="325"/>
      <c r="AU55" s="325"/>
      <c r="AV55" s="325"/>
      <c r="AW55" s="326"/>
      <c r="AX55" s="332">
        <f t="shared" ref="AX55" si="14">SUM(AL55:AW55)</f>
        <v>0</v>
      </c>
      <c r="AY55" s="333">
        <f t="shared" ref="AY55" si="15">AK55-AX55</f>
        <v>0</v>
      </c>
    </row>
    <row r="56" spans="1:51" s="330" customFormat="1" ht="15" customHeight="1" x14ac:dyDescent="0.25">
      <c r="A56" s="306"/>
      <c r="B56" s="307"/>
      <c r="C56" s="307"/>
      <c r="D56" s="309"/>
      <c r="E56" s="309"/>
      <c r="F56" s="308"/>
      <c r="G56" s="310"/>
      <c r="H56" s="311"/>
      <c r="I56" s="312"/>
      <c r="J56" s="331" t="s">
        <v>753</v>
      </c>
      <c r="K56" s="314"/>
      <c r="L56" s="315"/>
      <c r="M56" s="316"/>
      <c r="N56" s="316"/>
      <c r="O56" s="316">
        <v>1</v>
      </c>
      <c r="P56" s="316" t="s">
        <v>656</v>
      </c>
      <c r="Q56" s="316" t="s">
        <v>658</v>
      </c>
      <c r="R56" s="316">
        <v>17</v>
      </c>
      <c r="S56" s="460" t="s">
        <v>752</v>
      </c>
      <c r="T56" s="317">
        <f t="shared" si="12"/>
        <v>17</v>
      </c>
      <c r="U56" s="317" t="s">
        <v>752</v>
      </c>
      <c r="V56" s="318">
        <v>30000</v>
      </c>
      <c r="W56" s="484">
        <f t="shared" si="13"/>
        <v>510000</v>
      </c>
      <c r="X56" s="320" t="s">
        <v>649</v>
      </c>
      <c r="Y56" s="321"/>
      <c r="Z56" s="322"/>
      <c r="AA56" s="323"/>
      <c r="AB56" s="323"/>
      <c r="AC56" s="324"/>
      <c r="AD56" s="324"/>
      <c r="AE56" s="324"/>
      <c r="AF56" s="324"/>
      <c r="AG56" s="325"/>
      <c r="AH56" s="325"/>
      <c r="AI56" s="325"/>
      <c r="AJ56" s="326"/>
      <c r="AK56" s="332">
        <f t="shared" si="1"/>
        <v>0</v>
      </c>
      <c r="AL56" s="328"/>
      <c r="AM56" s="322"/>
      <c r="AN56" s="323"/>
      <c r="AO56" s="323"/>
      <c r="AP56" s="324"/>
      <c r="AQ56" s="324"/>
      <c r="AR56" s="324"/>
      <c r="AS56" s="324"/>
      <c r="AT56" s="325"/>
      <c r="AU56" s="325"/>
      <c r="AV56" s="325"/>
      <c r="AW56" s="326"/>
      <c r="AX56" s="332">
        <f t="shared" ref="AX56" si="16">SUM(AL56:AW56)</f>
        <v>0</v>
      </c>
      <c r="AY56" s="333">
        <f t="shared" ref="AY56" si="17">AK56-AX56</f>
        <v>0</v>
      </c>
    </row>
    <row r="57" spans="1:51" s="330" customFormat="1" ht="15" customHeight="1" x14ac:dyDescent="0.25">
      <c r="A57" s="306"/>
      <c r="B57" s="307"/>
      <c r="C57" s="307"/>
      <c r="D57" s="309"/>
      <c r="E57" s="309"/>
      <c r="F57" s="308"/>
      <c r="G57" s="310"/>
      <c r="H57" s="311"/>
      <c r="I57" s="312"/>
      <c r="J57" s="331" t="s">
        <v>899</v>
      </c>
      <c r="K57" s="314"/>
      <c r="L57" s="315"/>
      <c r="M57" s="316"/>
      <c r="N57" s="316"/>
      <c r="O57" s="316">
        <v>2</v>
      </c>
      <c r="P57" s="316" t="s">
        <v>656</v>
      </c>
      <c r="Q57" s="316" t="s">
        <v>658</v>
      </c>
      <c r="R57" s="316">
        <v>5</v>
      </c>
      <c r="S57" s="460" t="s">
        <v>900</v>
      </c>
      <c r="T57" s="317">
        <f t="shared" si="12"/>
        <v>10</v>
      </c>
      <c r="U57" s="317" t="s">
        <v>726</v>
      </c>
      <c r="V57" s="318">
        <v>50000</v>
      </c>
      <c r="W57" s="484">
        <f t="shared" si="13"/>
        <v>500000</v>
      </c>
      <c r="X57" s="320" t="s">
        <v>649</v>
      </c>
      <c r="Y57" s="321"/>
      <c r="Z57" s="322"/>
      <c r="AA57" s="323"/>
      <c r="AB57" s="323"/>
      <c r="AC57" s="324"/>
      <c r="AD57" s="324"/>
      <c r="AE57" s="324"/>
      <c r="AF57" s="324"/>
      <c r="AG57" s="325"/>
      <c r="AH57" s="325"/>
      <c r="AI57" s="325"/>
      <c r="AJ57" s="326"/>
      <c r="AK57" s="332">
        <f t="shared" si="1"/>
        <v>0</v>
      </c>
      <c r="AL57" s="328"/>
      <c r="AM57" s="322"/>
      <c r="AN57" s="323"/>
      <c r="AO57" s="323"/>
      <c r="AP57" s="324"/>
      <c r="AQ57" s="324"/>
      <c r="AR57" s="324"/>
      <c r="AS57" s="324"/>
      <c r="AT57" s="325"/>
      <c r="AU57" s="325"/>
      <c r="AV57" s="325"/>
      <c r="AW57" s="326"/>
      <c r="AX57" s="332">
        <f t="shared" ref="AX57" si="18">SUM(AL57:AW57)</f>
        <v>0</v>
      </c>
      <c r="AY57" s="333">
        <f t="shared" ref="AY57" si="19">AK57-AX57</f>
        <v>0</v>
      </c>
    </row>
    <row r="58" spans="1:51" s="330" customFormat="1" ht="15" customHeight="1" x14ac:dyDescent="0.25">
      <c r="A58" s="306"/>
      <c r="B58" s="307"/>
      <c r="C58" s="307"/>
      <c r="D58" s="309"/>
      <c r="E58" s="309"/>
      <c r="F58" s="308"/>
      <c r="G58" s="310"/>
      <c r="H58" s="311"/>
      <c r="I58" s="312"/>
      <c r="J58" s="331" t="s">
        <v>754</v>
      </c>
      <c r="K58" s="314"/>
      <c r="L58" s="316"/>
      <c r="M58" s="316"/>
      <c r="N58" s="316"/>
      <c r="O58" s="316">
        <v>23</v>
      </c>
      <c r="P58" s="316" t="s">
        <v>755</v>
      </c>
      <c r="Q58" s="316" t="s">
        <v>658</v>
      </c>
      <c r="R58" s="316">
        <v>14</v>
      </c>
      <c r="S58" s="460" t="s">
        <v>752</v>
      </c>
      <c r="T58" s="317">
        <f t="shared" si="12"/>
        <v>322</v>
      </c>
      <c r="U58" s="461" t="s">
        <v>756</v>
      </c>
      <c r="V58" s="318">
        <v>4000</v>
      </c>
      <c r="W58" s="484">
        <f t="shared" si="13"/>
        <v>1288000</v>
      </c>
      <c r="X58" s="320" t="s">
        <v>649</v>
      </c>
      <c r="Y58" s="321"/>
      <c r="Z58" s="322"/>
      <c r="AA58" s="323"/>
      <c r="AB58" s="323"/>
      <c r="AC58" s="324"/>
      <c r="AD58" s="324"/>
      <c r="AE58" s="324"/>
      <c r="AF58" s="324"/>
      <c r="AG58" s="325"/>
      <c r="AH58" s="325"/>
      <c r="AI58" s="325"/>
      <c r="AJ58" s="326"/>
      <c r="AK58" s="332">
        <f t="shared" si="1"/>
        <v>0</v>
      </c>
      <c r="AL58" s="328"/>
      <c r="AM58" s="322"/>
      <c r="AN58" s="323"/>
      <c r="AO58" s="323"/>
      <c r="AP58" s="324"/>
      <c r="AQ58" s="324"/>
      <c r="AR58" s="324"/>
      <c r="AS58" s="324"/>
      <c r="AT58" s="325"/>
      <c r="AU58" s="325"/>
      <c r="AV58" s="325"/>
      <c r="AW58" s="326"/>
      <c r="AX58" s="332">
        <f t="shared" ref="AX58" si="20">SUM(AL58:AW58)</f>
        <v>0</v>
      </c>
      <c r="AY58" s="333">
        <f t="shared" ref="AY58" si="21">AK58-AX58</f>
        <v>0</v>
      </c>
    </row>
    <row r="59" spans="1:51" s="330" customFormat="1" ht="15" customHeight="1" x14ac:dyDescent="0.25">
      <c r="A59" s="306"/>
      <c r="B59" s="307"/>
      <c r="C59" s="307"/>
      <c r="D59" s="309"/>
      <c r="E59" s="309"/>
      <c r="F59" s="308"/>
      <c r="G59" s="310"/>
      <c r="H59" s="311"/>
      <c r="I59" s="312"/>
      <c r="J59" s="331" t="s">
        <v>757</v>
      </c>
      <c r="K59" s="314"/>
      <c r="L59" s="315"/>
      <c r="M59" s="316"/>
      <c r="N59" s="316"/>
      <c r="O59" s="316">
        <v>23</v>
      </c>
      <c r="P59" s="316" t="s">
        <v>755</v>
      </c>
      <c r="Q59" s="316" t="s">
        <v>658</v>
      </c>
      <c r="R59" s="316">
        <v>20</v>
      </c>
      <c r="S59" s="460" t="s">
        <v>752</v>
      </c>
      <c r="T59" s="317">
        <f t="shared" si="12"/>
        <v>460</v>
      </c>
      <c r="U59" s="461" t="s">
        <v>756</v>
      </c>
      <c r="V59" s="318">
        <v>1000</v>
      </c>
      <c r="W59" s="484">
        <f t="shared" si="13"/>
        <v>460000</v>
      </c>
      <c r="X59" s="320" t="s">
        <v>649</v>
      </c>
      <c r="Y59" s="321"/>
      <c r="Z59" s="322"/>
      <c r="AA59" s="323"/>
      <c r="AB59" s="323"/>
      <c r="AC59" s="324"/>
      <c r="AD59" s="324"/>
      <c r="AE59" s="324"/>
      <c r="AF59" s="324"/>
      <c r="AG59" s="325"/>
      <c r="AH59" s="325"/>
      <c r="AI59" s="325"/>
      <c r="AJ59" s="326"/>
      <c r="AK59" s="332">
        <f t="shared" si="1"/>
        <v>0</v>
      </c>
      <c r="AL59" s="328"/>
      <c r="AM59" s="322"/>
      <c r="AN59" s="323"/>
      <c r="AO59" s="323"/>
      <c r="AP59" s="324"/>
      <c r="AQ59" s="324"/>
      <c r="AR59" s="324"/>
      <c r="AS59" s="324"/>
      <c r="AT59" s="325"/>
      <c r="AU59" s="325"/>
      <c r="AV59" s="325"/>
      <c r="AW59" s="326"/>
      <c r="AX59" s="332">
        <f t="shared" ref="AX59" si="22">SUM(AL59:AW59)</f>
        <v>0</v>
      </c>
      <c r="AY59" s="333">
        <f t="shared" ref="AY59" si="23">AK59-AX59</f>
        <v>0</v>
      </c>
    </row>
    <row r="60" spans="1:51" s="330" customFormat="1" ht="15" customHeight="1" x14ac:dyDescent="0.25">
      <c r="A60" s="306"/>
      <c r="B60" s="307"/>
      <c r="C60" s="307"/>
      <c r="D60" s="309"/>
      <c r="E60" s="309"/>
      <c r="F60" s="308"/>
      <c r="G60" s="310"/>
      <c r="H60" s="311"/>
      <c r="I60" s="312"/>
      <c r="J60" s="331" t="s">
        <v>828</v>
      </c>
      <c r="K60" s="314"/>
      <c r="L60" s="315"/>
      <c r="M60" s="316"/>
      <c r="N60" s="316"/>
      <c r="O60" s="316">
        <v>23</v>
      </c>
      <c r="P60" s="316" t="s">
        <v>755</v>
      </c>
      <c r="Q60" s="316" t="s">
        <v>658</v>
      </c>
      <c r="R60" s="316">
        <v>10</v>
      </c>
      <c r="S60" s="434" t="s">
        <v>752</v>
      </c>
      <c r="T60" s="317">
        <f t="shared" si="12"/>
        <v>230</v>
      </c>
      <c r="U60" s="435" t="s">
        <v>756</v>
      </c>
      <c r="V60" s="318">
        <v>2000</v>
      </c>
      <c r="W60" s="484">
        <f t="shared" si="13"/>
        <v>460000</v>
      </c>
      <c r="X60" s="320" t="s">
        <v>649</v>
      </c>
      <c r="Y60" s="321"/>
      <c r="Z60" s="322"/>
      <c r="AA60" s="323"/>
      <c r="AB60" s="323"/>
      <c r="AC60" s="324"/>
      <c r="AD60" s="324"/>
      <c r="AE60" s="324"/>
      <c r="AF60" s="324"/>
      <c r="AG60" s="325"/>
      <c r="AH60" s="325"/>
      <c r="AI60" s="325"/>
      <c r="AJ60" s="326"/>
      <c r="AK60" s="332">
        <f t="shared" si="1"/>
        <v>0</v>
      </c>
      <c r="AL60" s="328"/>
      <c r="AM60" s="322"/>
      <c r="AN60" s="323"/>
      <c r="AO60" s="323"/>
      <c r="AP60" s="324"/>
      <c r="AQ60" s="324"/>
      <c r="AR60" s="324"/>
      <c r="AS60" s="324"/>
      <c r="AT60" s="325"/>
      <c r="AU60" s="325"/>
      <c r="AV60" s="325"/>
      <c r="AW60" s="326"/>
      <c r="AX60" s="332"/>
      <c r="AY60" s="333"/>
    </row>
    <row r="61" spans="1:51" s="330" customFormat="1" ht="15" customHeight="1" x14ac:dyDescent="0.25">
      <c r="A61" s="440"/>
      <c r="B61" s="441"/>
      <c r="C61" s="441"/>
      <c r="D61" s="459"/>
      <c r="E61" s="459"/>
      <c r="F61" s="442"/>
      <c r="G61" s="488"/>
      <c r="H61" s="443"/>
      <c r="I61" s="312"/>
      <c r="J61" s="331" t="s">
        <v>851</v>
      </c>
      <c r="K61" s="314"/>
      <c r="L61" s="315"/>
      <c r="M61" s="316"/>
      <c r="N61" s="316"/>
      <c r="O61" s="316">
        <v>1</v>
      </c>
      <c r="P61" s="316" t="s">
        <v>656</v>
      </c>
      <c r="Q61" s="316"/>
      <c r="R61" s="316"/>
      <c r="S61" s="434"/>
      <c r="T61" s="317">
        <v>3</v>
      </c>
      <c r="U61" s="435"/>
      <c r="V61" s="318">
        <v>60000</v>
      </c>
      <c r="W61" s="484">
        <f t="shared" si="13"/>
        <v>180000</v>
      </c>
      <c r="X61" s="320" t="s">
        <v>649</v>
      </c>
      <c r="Y61" s="444"/>
      <c r="Z61" s="445"/>
      <c r="AA61" s="446"/>
      <c r="AB61" s="446"/>
      <c r="AC61" s="447"/>
      <c r="AD61" s="447"/>
      <c r="AE61" s="447"/>
      <c r="AF61" s="447"/>
      <c r="AG61" s="448"/>
      <c r="AH61" s="448"/>
      <c r="AI61" s="448"/>
      <c r="AJ61" s="449"/>
      <c r="AK61" s="332"/>
      <c r="AL61" s="450"/>
      <c r="AM61" s="445"/>
      <c r="AN61" s="446"/>
      <c r="AO61" s="446"/>
      <c r="AP61" s="447"/>
      <c r="AQ61" s="447"/>
      <c r="AR61" s="447"/>
      <c r="AS61" s="447"/>
      <c r="AT61" s="448"/>
      <c r="AU61" s="448"/>
      <c r="AV61" s="448"/>
      <c r="AW61" s="449"/>
      <c r="AX61" s="332"/>
      <c r="AY61" s="333"/>
    </row>
    <row r="62" spans="1:51" s="330" customFormat="1" ht="15" customHeight="1" x14ac:dyDescent="0.25">
      <c r="A62" s="440"/>
      <c r="B62" s="441"/>
      <c r="C62" s="441"/>
      <c r="D62" s="459"/>
      <c r="E62" s="459"/>
      <c r="F62" s="442"/>
      <c r="G62" s="488"/>
      <c r="H62" s="443"/>
      <c r="I62" s="312"/>
      <c r="J62" s="331" t="s">
        <v>901</v>
      </c>
      <c r="K62" s="314"/>
      <c r="L62" s="315"/>
      <c r="M62" s="316"/>
      <c r="N62" s="316"/>
      <c r="O62" s="316">
        <v>2</v>
      </c>
      <c r="P62" s="316" t="s">
        <v>656</v>
      </c>
      <c r="Q62" s="316"/>
      <c r="R62" s="316"/>
      <c r="S62" s="434"/>
      <c r="T62" s="317">
        <v>3</v>
      </c>
      <c r="U62" s="435"/>
      <c r="V62" s="318">
        <v>75000</v>
      </c>
      <c r="W62" s="484">
        <f>T62*V62*O62</f>
        <v>450000</v>
      </c>
      <c r="X62" s="320" t="s">
        <v>649</v>
      </c>
      <c r="Y62" s="444"/>
      <c r="Z62" s="445"/>
      <c r="AA62" s="446"/>
      <c r="AB62" s="446"/>
      <c r="AC62" s="447"/>
      <c r="AD62" s="447"/>
      <c r="AE62" s="447"/>
      <c r="AF62" s="447"/>
      <c r="AG62" s="448"/>
      <c r="AH62" s="448"/>
      <c r="AI62" s="448"/>
      <c r="AJ62" s="449"/>
      <c r="AK62" s="332"/>
      <c r="AL62" s="450"/>
      <c r="AM62" s="445"/>
      <c r="AN62" s="446"/>
      <c r="AO62" s="446"/>
      <c r="AP62" s="447"/>
      <c r="AQ62" s="447"/>
      <c r="AR62" s="447"/>
      <c r="AS62" s="447"/>
      <c r="AT62" s="448"/>
      <c r="AU62" s="448"/>
      <c r="AV62" s="448"/>
      <c r="AW62" s="449"/>
      <c r="AX62" s="332"/>
      <c r="AY62" s="333"/>
    </row>
    <row r="63" spans="1:51" s="268" customFormat="1" ht="15" customHeight="1" thickBot="1" x14ac:dyDescent="0.3">
      <c r="A63" s="349"/>
      <c r="B63" s="350"/>
      <c r="C63" s="350"/>
      <c r="D63" s="351"/>
      <c r="E63" s="351"/>
      <c r="F63" s="351"/>
      <c r="G63" s="350"/>
      <c r="H63" s="352"/>
      <c r="I63" s="353"/>
      <c r="J63" s="489" t="s">
        <v>850</v>
      </c>
      <c r="K63" s="314"/>
      <c r="L63" s="331"/>
      <c r="M63" s="355"/>
      <c r="N63" s="355"/>
      <c r="O63" s="355">
        <v>1</v>
      </c>
      <c r="P63" s="355" t="s">
        <v>656</v>
      </c>
      <c r="Q63" s="355"/>
      <c r="R63" s="355"/>
      <c r="S63" s="355"/>
      <c r="T63" s="356">
        <v>3</v>
      </c>
      <c r="U63" s="317"/>
      <c r="V63" s="318">
        <v>50000</v>
      </c>
      <c r="W63" s="484">
        <f t="shared" si="13"/>
        <v>150000</v>
      </c>
      <c r="X63" s="320" t="s">
        <v>649</v>
      </c>
      <c r="Y63" s="359"/>
      <c r="Z63" s="360"/>
      <c r="AA63" s="360"/>
      <c r="AB63" s="360"/>
      <c r="AC63" s="361"/>
      <c r="AD63" s="361"/>
      <c r="AE63" s="361"/>
      <c r="AF63" s="361"/>
      <c r="AG63" s="362"/>
      <c r="AH63" s="362"/>
      <c r="AI63" s="362"/>
      <c r="AJ63" s="363"/>
      <c r="AK63" s="265"/>
      <c r="AL63" s="364"/>
      <c r="AM63" s="360"/>
      <c r="AN63" s="360"/>
      <c r="AO63" s="360"/>
      <c r="AP63" s="361"/>
      <c r="AQ63" s="361"/>
      <c r="AR63" s="361"/>
      <c r="AS63" s="361"/>
      <c r="AT63" s="362"/>
      <c r="AU63" s="362"/>
      <c r="AV63" s="362"/>
      <c r="AW63" s="363"/>
      <c r="AX63" s="265"/>
      <c r="AY63" s="267"/>
    </row>
    <row r="64" spans="1:51" s="379" customFormat="1" ht="20.25" customHeight="1" thickBot="1" x14ac:dyDescent="0.3">
      <c r="A64" s="365" t="s">
        <v>157</v>
      </c>
      <c r="B64" s="366"/>
      <c r="C64" s="367"/>
      <c r="D64" s="367"/>
      <c r="E64" s="367"/>
      <c r="F64" s="367"/>
      <c r="G64" s="367"/>
      <c r="H64" s="367"/>
      <c r="I64" s="367"/>
      <c r="J64" s="367"/>
      <c r="K64" s="367"/>
      <c r="L64" s="367"/>
      <c r="M64" s="367"/>
      <c r="N64" s="367"/>
      <c r="O64" s="367"/>
      <c r="P64" s="367"/>
      <c r="Q64" s="367"/>
      <c r="R64" s="367"/>
      <c r="S64" s="367"/>
      <c r="T64" s="367"/>
      <c r="U64" s="367"/>
      <c r="V64" s="368"/>
      <c r="W64" s="369">
        <f>W37</f>
        <v>8083000</v>
      </c>
      <c r="X64" s="370"/>
      <c r="Y64" s="371"/>
      <c r="Z64" s="372"/>
      <c r="AA64" s="372"/>
      <c r="AB64" s="372"/>
      <c r="AC64" s="373"/>
      <c r="AD64" s="373"/>
      <c r="AE64" s="373"/>
      <c r="AF64" s="373"/>
      <c r="AG64" s="374"/>
      <c r="AH64" s="374"/>
      <c r="AI64" s="374"/>
      <c r="AJ64" s="375"/>
      <c r="AK64" s="376">
        <f>SUM(AK36:AK63)</f>
        <v>0</v>
      </c>
      <c r="AL64" s="377"/>
      <c r="AM64" s="372"/>
      <c r="AN64" s="372"/>
      <c r="AO64" s="372"/>
      <c r="AP64" s="373"/>
      <c r="AQ64" s="373"/>
      <c r="AR64" s="373"/>
      <c r="AS64" s="373"/>
      <c r="AT64" s="374"/>
      <c r="AU64" s="374"/>
      <c r="AV64" s="374"/>
      <c r="AW64" s="375"/>
      <c r="AX64" s="376">
        <f>SUM(AX36:AX63)</f>
        <v>0</v>
      </c>
      <c r="AY64" s="378">
        <f>SUM(AY36:AY63)</f>
        <v>0</v>
      </c>
    </row>
    <row r="65" spans="1:36" s="268" customFormat="1" ht="15.75" x14ac:dyDescent="0.25">
      <c r="A65" s="219" t="s">
        <v>158</v>
      </c>
      <c r="B65" s="380"/>
      <c r="C65" s="380"/>
      <c r="D65" s="380"/>
      <c r="E65" s="380"/>
      <c r="F65" s="380"/>
      <c r="G65" s="380"/>
      <c r="H65" s="380"/>
      <c r="I65" s="380"/>
      <c r="J65" s="380"/>
      <c r="K65" s="381"/>
      <c r="L65" s="382"/>
      <c r="M65" s="380"/>
      <c r="N65" s="380"/>
      <c r="O65" s="380"/>
      <c r="P65" s="380"/>
      <c r="Q65" s="380"/>
      <c r="R65" s="380"/>
      <c r="S65" s="380"/>
      <c r="T65" s="383"/>
      <c r="U65" s="384"/>
      <c r="V65" s="384"/>
      <c r="W65" s="384"/>
      <c r="X65" s="385"/>
      <c r="Y65" s="386"/>
      <c r="Z65" s="387"/>
      <c r="AA65" s="387"/>
      <c r="AB65" s="387"/>
      <c r="AC65" s="387"/>
      <c r="AD65" s="387"/>
      <c r="AE65" s="387"/>
      <c r="AF65" s="387"/>
      <c r="AG65" s="387"/>
      <c r="AH65" s="387"/>
      <c r="AI65" s="387"/>
      <c r="AJ65" s="387"/>
    </row>
    <row r="66" spans="1:36" s="268" customFormat="1" ht="15.75" x14ac:dyDescent="0.25">
      <c r="A66" s="219" t="s">
        <v>159</v>
      </c>
      <c r="B66" s="220"/>
      <c r="C66" s="380"/>
      <c r="D66" s="660" t="s">
        <v>160</v>
      </c>
      <c r="E66" s="660"/>
      <c r="F66" s="660"/>
      <c r="G66" s="660"/>
      <c r="H66" s="660"/>
      <c r="I66" s="388"/>
      <c r="J66" s="388"/>
      <c r="K66" s="389"/>
      <c r="L66" s="390"/>
      <c r="M66" s="391"/>
      <c r="N66" s="391"/>
      <c r="O66" s="391"/>
      <c r="P66" s="391"/>
      <c r="Q66" s="391"/>
      <c r="R66" s="391"/>
      <c r="S66" s="391"/>
      <c r="T66" s="380"/>
      <c r="U66" s="388"/>
      <c r="V66" s="392" t="s">
        <v>841</v>
      </c>
      <c r="W66" s="393"/>
      <c r="X66" s="394"/>
      <c r="Y66" s="387"/>
      <c r="Z66" s="387"/>
      <c r="AA66" s="387" t="s">
        <v>161</v>
      </c>
      <c r="AB66" s="387"/>
      <c r="AC66" s="387"/>
      <c r="AD66" s="387"/>
      <c r="AE66" s="387"/>
      <c r="AF66" s="387"/>
      <c r="AG66" s="387"/>
      <c r="AH66" s="387"/>
      <c r="AI66" s="387"/>
      <c r="AJ66" s="387"/>
    </row>
    <row r="67" spans="1:36" s="268" customFormat="1" ht="12" customHeight="1" x14ac:dyDescent="0.25">
      <c r="A67" s="219" t="s">
        <v>162</v>
      </c>
      <c r="B67" s="220"/>
      <c r="C67" s="380"/>
      <c r="D67" s="660" t="s">
        <v>160</v>
      </c>
      <c r="E67" s="660"/>
      <c r="F67" s="660"/>
      <c r="G67" s="660"/>
      <c r="H67" s="660"/>
      <c r="I67" s="388"/>
      <c r="J67" s="388"/>
      <c r="K67" s="389"/>
      <c r="L67" s="390"/>
      <c r="M67" s="391"/>
      <c r="N67" s="391"/>
      <c r="O67" s="391"/>
      <c r="P67" s="391"/>
      <c r="Q67" s="391"/>
      <c r="R67" s="391"/>
      <c r="S67" s="391"/>
      <c r="T67" s="380"/>
      <c r="U67" s="384"/>
      <c r="V67" s="395" t="s">
        <v>26</v>
      </c>
      <c r="W67" s="393"/>
      <c r="X67" s="394"/>
      <c r="Y67" s="387"/>
      <c r="Z67" s="387"/>
      <c r="AA67" s="387"/>
      <c r="AB67" s="387"/>
      <c r="AC67" s="387"/>
      <c r="AD67" s="387"/>
      <c r="AE67" s="387"/>
      <c r="AF67" s="387"/>
      <c r="AG67" s="387"/>
      <c r="AH67" s="387"/>
      <c r="AI67" s="387"/>
      <c r="AJ67" s="387"/>
    </row>
    <row r="68" spans="1:36" s="268" customFormat="1" ht="15.75" x14ac:dyDescent="0.25">
      <c r="A68" s="219" t="s">
        <v>163</v>
      </c>
      <c r="B68" s="220"/>
      <c r="C68" s="380"/>
      <c r="D68" s="660" t="s">
        <v>160</v>
      </c>
      <c r="E68" s="660"/>
      <c r="F68" s="660"/>
      <c r="G68" s="660"/>
      <c r="H68" s="660"/>
      <c r="I68" s="388"/>
      <c r="J68" s="388"/>
      <c r="K68" s="389"/>
      <c r="L68" s="390"/>
      <c r="M68" s="391"/>
      <c r="N68" s="391"/>
      <c r="O68" s="391"/>
      <c r="P68" s="391"/>
      <c r="Q68" s="391"/>
      <c r="R68" s="391"/>
      <c r="S68" s="391"/>
      <c r="T68" s="380"/>
      <c r="U68" s="384"/>
      <c r="V68" s="395"/>
      <c r="W68" s="393"/>
      <c r="X68" s="394"/>
      <c r="Y68" s="387"/>
      <c r="Z68" s="387"/>
      <c r="AA68" s="387"/>
      <c r="AB68" s="387"/>
      <c r="AC68" s="387"/>
      <c r="AD68" s="387"/>
      <c r="AE68" s="387"/>
      <c r="AF68" s="387"/>
      <c r="AG68" s="387"/>
      <c r="AH68" s="387"/>
      <c r="AI68" s="387"/>
      <c r="AJ68" s="387"/>
    </row>
    <row r="69" spans="1:36" s="268" customFormat="1" ht="15.75" x14ac:dyDescent="0.25">
      <c r="A69" s="219"/>
      <c r="B69" s="220"/>
      <c r="C69" s="380"/>
      <c r="D69" s="659"/>
      <c r="E69" s="659"/>
      <c r="F69" s="659"/>
      <c r="G69" s="659"/>
      <c r="H69" s="659"/>
      <c r="I69" s="388"/>
      <c r="J69" s="388"/>
      <c r="K69" s="396"/>
      <c r="L69" s="390"/>
      <c r="M69" s="391"/>
      <c r="N69" s="391"/>
      <c r="O69" s="391"/>
      <c r="P69" s="391"/>
      <c r="Q69" s="391"/>
      <c r="R69" s="391"/>
      <c r="S69" s="391"/>
      <c r="T69" s="380"/>
      <c r="U69" s="393"/>
      <c r="V69" s="395"/>
      <c r="W69" s="393"/>
      <c r="X69" s="394"/>
      <c r="Y69" s="387"/>
      <c r="Z69" s="387"/>
      <c r="AA69" s="387"/>
      <c r="AB69" s="387"/>
      <c r="AC69" s="387"/>
      <c r="AD69" s="387"/>
      <c r="AE69" s="387"/>
      <c r="AF69" s="387"/>
      <c r="AG69" s="387"/>
      <c r="AH69" s="387"/>
      <c r="AI69" s="387"/>
      <c r="AJ69" s="387"/>
    </row>
    <row r="70" spans="1:36" s="268" customFormat="1" ht="15.75" x14ac:dyDescent="0.25">
      <c r="A70" s="219" t="s">
        <v>87</v>
      </c>
      <c r="B70" s="220"/>
      <c r="C70" s="380"/>
      <c r="D70" s="660" t="s">
        <v>160</v>
      </c>
      <c r="E70" s="660"/>
      <c r="F70" s="660"/>
      <c r="G70" s="660"/>
      <c r="H70" s="660"/>
      <c r="I70" s="388"/>
      <c r="J70" s="388"/>
      <c r="K70" s="396"/>
      <c r="L70" s="390"/>
      <c r="M70" s="391"/>
      <c r="N70" s="391"/>
      <c r="O70" s="391"/>
      <c r="P70" s="391"/>
      <c r="Q70" s="391"/>
      <c r="R70" s="391"/>
      <c r="S70" s="391"/>
      <c r="T70" s="380"/>
      <c r="U70" s="393"/>
      <c r="V70" s="397"/>
      <c r="W70" s="398"/>
      <c r="X70" s="394"/>
      <c r="Y70" s="387"/>
      <c r="Z70" s="387"/>
      <c r="AA70" s="387"/>
      <c r="AB70" s="387"/>
      <c r="AC70" s="387"/>
      <c r="AD70" s="387"/>
      <c r="AE70" s="387"/>
      <c r="AF70" s="387"/>
      <c r="AG70" s="387"/>
      <c r="AH70" s="387"/>
      <c r="AI70" s="387"/>
      <c r="AJ70" s="387"/>
    </row>
    <row r="71" spans="1:36" s="268" customFormat="1" ht="15.75" x14ac:dyDescent="0.25">
      <c r="A71" s="399"/>
      <c r="B71" s="380"/>
      <c r="C71" s="380"/>
      <c r="D71" s="380"/>
      <c r="E71" s="380"/>
      <c r="F71" s="380"/>
      <c r="G71" s="380"/>
      <c r="H71" s="380"/>
      <c r="I71" s="388"/>
      <c r="J71" s="388"/>
      <c r="K71" s="396"/>
      <c r="L71" s="390"/>
      <c r="M71" s="391"/>
      <c r="N71" s="391"/>
      <c r="O71" s="391"/>
      <c r="P71" s="391"/>
      <c r="Q71" s="391"/>
      <c r="R71" s="391"/>
      <c r="S71" s="391"/>
      <c r="T71" s="380"/>
      <c r="U71" s="223"/>
      <c r="V71" s="400" t="s">
        <v>28</v>
      </c>
      <c r="W71" s="401"/>
      <c r="X71" s="394"/>
      <c r="Y71" s="387"/>
      <c r="Z71" s="387"/>
      <c r="AA71" s="387"/>
      <c r="AB71" s="387"/>
      <c r="AC71" s="387"/>
      <c r="AD71" s="387"/>
      <c r="AE71" s="387"/>
      <c r="AF71" s="387"/>
      <c r="AG71" s="387"/>
      <c r="AH71" s="387"/>
      <c r="AI71" s="387"/>
      <c r="AJ71" s="387"/>
    </row>
    <row r="72" spans="1:36" s="268" customFormat="1" ht="15.75" x14ac:dyDescent="0.25">
      <c r="A72" s="399"/>
      <c r="B72" s="380"/>
      <c r="C72" s="380"/>
      <c r="D72" s="380"/>
      <c r="E72" s="380"/>
      <c r="F72" s="380"/>
      <c r="G72" s="380"/>
      <c r="H72" s="380"/>
      <c r="I72" s="393"/>
      <c r="J72" s="388"/>
      <c r="K72" s="389"/>
      <c r="L72" s="390"/>
      <c r="M72" s="391"/>
      <c r="N72" s="391"/>
      <c r="O72" s="391"/>
      <c r="P72" s="391"/>
      <c r="Q72" s="391"/>
      <c r="R72" s="391"/>
      <c r="S72" s="391"/>
      <c r="T72" s="380"/>
      <c r="U72" s="223"/>
      <c r="V72" s="402" t="s">
        <v>76</v>
      </c>
      <c r="W72" s="393"/>
      <c r="X72" s="394"/>
      <c r="Y72" s="387"/>
      <c r="Z72" s="387"/>
      <c r="AA72" s="387"/>
      <c r="AB72" s="387"/>
      <c r="AC72" s="387"/>
      <c r="AD72" s="387"/>
      <c r="AE72" s="387"/>
      <c r="AF72" s="387"/>
      <c r="AG72" s="387"/>
      <c r="AH72" s="387"/>
      <c r="AI72" s="387"/>
      <c r="AJ72" s="387"/>
    </row>
    <row r="73" spans="1:36" s="268" customFormat="1" ht="11.25" customHeight="1" thickBot="1" x14ac:dyDescent="0.3">
      <c r="A73" s="403"/>
      <c r="B73" s="404"/>
      <c r="C73" s="404"/>
      <c r="D73" s="404"/>
      <c r="E73" s="404"/>
      <c r="F73" s="404"/>
      <c r="G73" s="404"/>
      <c r="H73" s="404"/>
      <c r="I73" s="405"/>
      <c r="J73" s="405"/>
      <c r="K73" s="406"/>
      <c r="L73" s="407"/>
      <c r="M73" s="405"/>
      <c r="N73" s="405"/>
      <c r="O73" s="405"/>
      <c r="P73" s="405"/>
      <c r="Q73" s="405"/>
      <c r="R73" s="405"/>
      <c r="S73" s="405"/>
      <c r="T73" s="408"/>
      <c r="U73" s="409"/>
      <c r="V73" s="410"/>
      <c r="W73" s="410"/>
      <c r="X73" s="411"/>
      <c r="Y73" s="387"/>
      <c r="Z73" s="387"/>
      <c r="AA73" s="387"/>
      <c r="AB73" s="387"/>
      <c r="AC73" s="387"/>
      <c r="AD73" s="387"/>
      <c r="AE73" s="387"/>
      <c r="AF73" s="387"/>
      <c r="AG73" s="387"/>
      <c r="AH73" s="387"/>
      <c r="AI73" s="387"/>
      <c r="AJ73" s="387"/>
    </row>
    <row r="74" spans="1:36" s="199" customFormat="1" ht="15.75" x14ac:dyDescent="0.25">
      <c r="A74" s="412"/>
      <c r="B74" s="412"/>
      <c r="C74" s="412"/>
      <c r="D74" s="412"/>
      <c r="E74" s="412"/>
      <c r="F74" s="412"/>
      <c r="G74" s="412"/>
      <c r="H74" s="412"/>
      <c r="I74" s="413"/>
      <c r="J74" s="413"/>
      <c r="K74" s="413"/>
      <c r="L74" s="414"/>
      <c r="M74" s="412"/>
      <c r="N74" s="412"/>
      <c r="O74" s="412"/>
      <c r="P74" s="412"/>
      <c r="Q74" s="412"/>
      <c r="R74" s="412"/>
      <c r="S74" s="412"/>
      <c r="T74" s="412"/>
      <c r="U74" s="413"/>
      <c r="V74" s="413"/>
      <c r="W74" s="413"/>
      <c r="X74" s="413"/>
      <c r="Y74" s="198"/>
      <c r="Z74" s="198"/>
      <c r="AA74" s="198"/>
      <c r="AB74" s="198"/>
      <c r="AC74" s="198"/>
      <c r="AD74" s="198"/>
      <c r="AE74" s="198"/>
      <c r="AF74" s="198"/>
      <c r="AG74" s="198"/>
      <c r="AH74" s="198"/>
      <c r="AI74" s="198"/>
      <c r="AJ74" s="198"/>
    </row>
    <row r="75" spans="1:36" s="199" customFormat="1" ht="15.75" x14ac:dyDescent="0.25">
      <c r="A75" s="412"/>
      <c r="B75" s="412"/>
      <c r="C75" s="412"/>
      <c r="D75" s="412"/>
      <c r="E75" s="412"/>
      <c r="F75" s="412"/>
      <c r="G75" s="412"/>
      <c r="H75" s="412"/>
      <c r="I75" s="413"/>
      <c r="J75" s="413"/>
      <c r="K75" s="413"/>
      <c r="L75" s="414"/>
      <c r="M75" s="412"/>
      <c r="N75" s="412"/>
      <c r="O75" s="412"/>
      <c r="P75" s="412"/>
      <c r="Q75" s="412"/>
      <c r="R75" s="412"/>
      <c r="S75" s="412"/>
      <c r="T75" s="412"/>
      <c r="U75" s="413"/>
      <c r="V75" s="413"/>
      <c r="W75" s="413"/>
      <c r="X75" s="413"/>
      <c r="Y75" s="198"/>
      <c r="Z75" s="198"/>
      <c r="AA75" s="198"/>
      <c r="AB75" s="198"/>
      <c r="AC75" s="198"/>
      <c r="AD75" s="198"/>
      <c r="AE75" s="198"/>
      <c r="AF75" s="198"/>
      <c r="AG75" s="198"/>
      <c r="AH75" s="198"/>
      <c r="AI75" s="198"/>
      <c r="AJ75" s="198"/>
    </row>
    <row r="76" spans="1:36" s="199" customFormat="1" ht="15.75" x14ac:dyDescent="0.25">
      <c r="A76" s="412"/>
      <c r="B76" s="412"/>
      <c r="C76" s="412"/>
      <c r="D76" s="412"/>
      <c r="E76" s="412"/>
      <c r="F76" s="412"/>
      <c r="G76" s="412"/>
      <c r="H76" s="412"/>
      <c r="I76" s="413"/>
      <c r="J76" s="413"/>
      <c r="K76" s="413"/>
      <c r="L76" s="414"/>
      <c r="M76" s="412"/>
      <c r="N76" s="412"/>
      <c r="O76" s="412"/>
      <c r="P76" s="412"/>
      <c r="Q76" s="412"/>
      <c r="R76" s="412"/>
      <c r="S76" s="412"/>
      <c r="T76" s="412"/>
      <c r="U76" s="413"/>
      <c r="V76" s="413"/>
      <c r="W76" s="413"/>
      <c r="X76" s="413"/>
      <c r="Y76" s="198"/>
      <c r="Z76" s="198"/>
      <c r="AA76" s="198"/>
      <c r="AB76" s="198"/>
      <c r="AC76" s="198"/>
      <c r="AD76" s="198"/>
      <c r="AE76" s="198"/>
      <c r="AF76" s="198"/>
      <c r="AG76" s="198"/>
      <c r="AH76" s="198"/>
      <c r="AI76" s="198"/>
      <c r="AJ76" s="198"/>
    </row>
    <row r="77" spans="1:36" ht="15.75" x14ac:dyDescent="0.25">
      <c r="A77" s="412"/>
      <c r="B77" s="412"/>
      <c r="C77" s="412"/>
      <c r="D77" s="412"/>
      <c r="E77" s="412"/>
      <c r="F77" s="412"/>
      <c r="G77" s="412"/>
      <c r="H77" s="412"/>
      <c r="I77" s="413"/>
      <c r="J77" s="413"/>
      <c r="K77" s="413"/>
      <c r="L77" s="414"/>
      <c r="M77" s="412"/>
      <c r="N77" s="412"/>
      <c r="O77" s="412"/>
      <c r="P77" s="412"/>
      <c r="Q77" s="412"/>
      <c r="R77" s="412"/>
      <c r="S77" s="412"/>
      <c r="T77" s="412"/>
      <c r="U77" s="413"/>
      <c r="V77" s="413"/>
      <c r="W77" s="413"/>
      <c r="X77" s="413"/>
    </row>
    <row r="80" spans="1:36" x14ac:dyDescent="0.2">
      <c r="Y80" s="492">
        <f>W43+W45+W46+W47+W48+W50+W51+W52+W53+W55+W56+W57+W58+W59+W60+W61+W63+W62</f>
        <v>8083000</v>
      </c>
    </row>
    <row r="81" spans="25:25" x14ac:dyDescent="0.2">
      <c r="Y81" s="175">
        <f>'5.2.1'!W55</f>
        <v>1280000</v>
      </c>
    </row>
    <row r="82" spans="25:25" x14ac:dyDescent="0.2">
      <c r="Y82" s="492">
        <f>'5.3.1'!W43+'5.3.1'!W44+'5.3.1'!W45+'5.3.1'!W46+'5.3.1'!W54+'5.3.1'!W55+'5.3.1'!W56</f>
        <v>3755000</v>
      </c>
    </row>
    <row r="83" spans="25:25" x14ac:dyDescent="0.2">
      <c r="Y83" s="175">
        <f>'5.3.2'!W46</f>
        <v>1080000</v>
      </c>
    </row>
    <row r="84" spans="25:25" x14ac:dyDescent="0.2">
      <c r="Y84" s="175">
        <f>'5.3.3'!W69</f>
        <v>47020000</v>
      </c>
    </row>
    <row r="85" spans="25:25" x14ac:dyDescent="0.2">
      <c r="Y85" s="175">
        <f>'5.4.2'!W59</f>
        <v>10420000</v>
      </c>
    </row>
    <row r="86" spans="25:25" x14ac:dyDescent="0.2">
      <c r="Y86" s="492">
        <f>'5.5.1'!W44</f>
        <v>7500000</v>
      </c>
    </row>
    <row r="87" spans="25:25" x14ac:dyDescent="0.2">
      <c r="Y87" s="175">
        <f>'5.5.3'!W46</f>
        <v>1500000</v>
      </c>
    </row>
    <row r="88" spans="25:25" x14ac:dyDescent="0.2">
      <c r="Y88" s="493">
        <f>'5.5.5'!W112+'5.5.5'!W113+'5.5.5'!W119+'5.5.5'!W121+'5.5.5'!W122+'5.5.5'!W125+'5.5.5'!W129</f>
        <v>7894600</v>
      </c>
    </row>
    <row r="89" spans="25:25" x14ac:dyDescent="0.2">
      <c r="Y89" s="492">
        <f>'5.5.7'!W50+'5.5.7'!W56+'5.5.7'!W57+'5.5.7'!W58+'5.5.7'!W62+'5.5.7'!W63+'5.5.7'!W64+'5.5.7'!W65+'5.5.7'!W71</f>
        <v>28535400</v>
      </c>
    </row>
    <row r="90" spans="25:25" x14ac:dyDescent="0.2">
      <c r="Y90" s="492">
        <f>'5.6.2'!W43+'5.6.2'!W46+'5.6.2'!W47+'5.6.2'!W48</f>
        <v>7002000</v>
      </c>
    </row>
    <row r="91" spans="25:25" x14ac:dyDescent="0.2">
      <c r="Y91" s="492">
        <f>'5.7.1'!W43+'5.7.1'!W44+'5.7.1'!W46</f>
        <v>11490000</v>
      </c>
    </row>
    <row r="92" spans="25:25" x14ac:dyDescent="0.2">
      <c r="Y92" s="492">
        <f>'5.7.2'!W49+'5.7.2'!W50</f>
        <v>1340000</v>
      </c>
    </row>
    <row r="93" spans="25:25" x14ac:dyDescent="0.2">
      <c r="Y93" s="492">
        <f>'5.7.5'!W43+'5.7.5'!W46+'5.7.5'!W52+'5.7.5'!W53</f>
        <v>11100000</v>
      </c>
    </row>
    <row r="94" spans="25:25" x14ac:dyDescent="0.2">
      <c r="Y94" s="492">
        <f>'5.8'!W45+'5.8'!W46+'5.8'!W48+'5.8'!W49</f>
        <v>2000000</v>
      </c>
    </row>
    <row r="95" spans="25:25" x14ac:dyDescent="0.2">
      <c r="Y95" s="492">
        <f>SUM(Y80:Y94)</f>
        <v>150000000</v>
      </c>
    </row>
  </sheetData>
  <mergeCells count="72">
    <mergeCell ref="D69:H69"/>
    <mergeCell ref="D70:H70"/>
    <mergeCell ref="A36:H36"/>
    <mergeCell ref="I36:K36"/>
    <mergeCell ref="L36:S36"/>
    <mergeCell ref="D66:H66"/>
    <mergeCell ref="D67:H67"/>
    <mergeCell ref="D68:H68"/>
    <mergeCell ref="AI34:AI35"/>
    <mergeCell ref="AW34:AW35"/>
    <mergeCell ref="AL34:AL35"/>
    <mergeCell ref="AM34:AM35"/>
    <mergeCell ref="AN34:AN35"/>
    <mergeCell ref="AO34:AO35"/>
    <mergeCell ref="AP34:AP35"/>
    <mergeCell ref="AQ34:AQ35"/>
    <mergeCell ref="AR34:AR35"/>
    <mergeCell ref="AS34:AS35"/>
    <mergeCell ref="AT34:AT35"/>
    <mergeCell ref="AU34:AU35"/>
    <mergeCell ref="AV34:AV35"/>
    <mergeCell ref="Y31:AJ33"/>
    <mergeCell ref="AK31:AK35"/>
    <mergeCell ref="AL31:AW33"/>
    <mergeCell ref="AX31:AX35"/>
    <mergeCell ref="AY31:AY35"/>
    <mergeCell ref="AJ34:AJ35"/>
    <mergeCell ref="Y34:Y35"/>
    <mergeCell ref="Z34:Z35"/>
    <mergeCell ref="AA34:AA35"/>
    <mergeCell ref="AB34:AB35"/>
    <mergeCell ref="AC34:AC35"/>
    <mergeCell ref="AD34:AD35"/>
    <mergeCell ref="AE34:AE35"/>
    <mergeCell ref="AF34:AF35"/>
    <mergeCell ref="AG34:AG35"/>
    <mergeCell ref="AH34:AH35"/>
    <mergeCell ref="A24:I24"/>
    <mergeCell ref="A28:I28"/>
    <mergeCell ref="A29:X29"/>
    <mergeCell ref="A30:X30"/>
    <mergeCell ref="A31:H35"/>
    <mergeCell ref="I31:K35"/>
    <mergeCell ref="L31:V32"/>
    <mergeCell ref="W31:W33"/>
    <mergeCell ref="X31:X35"/>
    <mergeCell ref="L33:S35"/>
    <mergeCell ref="T33:T35"/>
    <mergeCell ref="U33:U35"/>
    <mergeCell ref="V33:V35"/>
    <mergeCell ref="W34:W35"/>
    <mergeCell ref="V23:X23"/>
    <mergeCell ref="A14:I14"/>
    <mergeCell ref="J14:U14"/>
    <mergeCell ref="V14:X14"/>
    <mergeCell ref="A15:I15"/>
    <mergeCell ref="A16:I19"/>
    <mergeCell ref="V16:X16"/>
    <mergeCell ref="V17:X17"/>
    <mergeCell ref="V18:X18"/>
    <mergeCell ref="V19:X19"/>
    <mergeCell ref="A20:I20"/>
    <mergeCell ref="V20:X20"/>
    <mergeCell ref="V21:X21"/>
    <mergeCell ref="K22:U22"/>
    <mergeCell ref="V22:X22"/>
    <mergeCell ref="A13:X13"/>
    <mergeCell ref="V3:X3"/>
    <mergeCell ref="A5:X5"/>
    <mergeCell ref="A6:X6"/>
    <mergeCell ref="A7:I7"/>
    <mergeCell ref="A9:I9"/>
  </mergeCells>
  <pageMargins left="0.85" right="0" top="1" bottom="1.5" header="0.42" footer="0.31"/>
  <pageSetup paperSize="124" scale="34" fitToHeight="0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0163D-0A92-46D2-AEAA-59E08976F92D}">
  <sheetPr>
    <pageSetUpPr fitToPage="1"/>
  </sheetPr>
  <dimension ref="A1:AY68"/>
  <sheetViews>
    <sheetView showGridLines="0" topLeftCell="A31" zoomScale="90" zoomScaleNormal="90" zoomScaleSheetLayoutView="70" zoomScalePageLayoutView="40" workbookViewId="0">
      <selection activeCell="W56" sqref="W56"/>
    </sheetView>
  </sheetViews>
  <sheetFormatPr defaultColWidth="9.140625" defaultRowHeight="12.75" x14ac:dyDescent="0.2"/>
  <cols>
    <col min="1" max="6" width="3.7109375" style="415" customWidth="1"/>
    <col min="7" max="7" width="5.85546875" style="415" bestFit="1" customWidth="1"/>
    <col min="8" max="8" width="3.7109375" style="415" customWidth="1"/>
    <col min="9" max="9" width="2" style="176" customWidth="1"/>
    <col min="10" max="10" width="3.140625" style="176" customWidth="1"/>
    <col min="11" max="11" width="37.140625" style="176" customWidth="1"/>
    <col min="12" max="12" width="4.140625" style="416" customWidth="1"/>
    <col min="13" max="15" width="4" style="415" customWidth="1"/>
    <col min="16" max="16" width="6.5703125" style="415" bestFit="1" customWidth="1"/>
    <col min="17" max="18" width="4" style="415" customWidth="1"/>
    <col min="19" max="19" width="6.7109375" style="415" bestFit="1" customWidth="1"/>
    <col min="20" max="20" width="8.5703125" style="415" customWidth="1"/>
    <col min="21" max="21" width="11.28515625" style="176" customWidth="1"/>
    <col min="22" max="22" width="12.140625" style="176" customWidth="1"/>
    <col min="23" max="23" width="13.7109375" style="176" customWidth="1"/>
    <col min="24" max="24" width="9.5703125" style="176" customWidth="1"/>
    <col min="25" max="25" width="11.7109375" style="175" customWidth="1"/>
    <col min="26" max="26" width="11.85546875" style="175" customWidth="1"/>
    <col min="27" max="27" width="11.42578125" style="175" customWidth="1"/>
    <col min="28" max="28" width="11.5703125" style="175" customWidth="1"/>
    <col min="29" max="29" width="12" style="175" customWidth="1"/>
    <col min="30" max="30" width="11.42578125" style="175" customWidth="1"/>
    <col min="31" max="31" width="11.85546875" style="175" customWidth="1"/>
    <col min="32" max="32" width="11.5703125" style="175" customWidth="1"/>
    <col min="33" max="33" width="11.85546875" style="175" customWidth="1"/>
    <col min="34" max="34" width="11.42578125" style="175" customWidth="1"/>
    <col min="35" max="35" width="10.7109375" style="175" customWidth="1"/>
    <col min="36" max="36" width="11.5703125" style="175" customWidth="1"/>
    <col min="37" max="37" width="11.5703125" style="176" customWidth="1"/>
    <col min="38" max="50" width="9.140625" style="176"/>
    <col min="51" max="51" width="10.28515625" style="176" bestFit="1" customWidth="1"/>
    <col min="52" max="16384" width="9.140625" style="176"/>
  </cols>
  <sheetData>
    <row r="1" spans="1:36" ht="14.25" customHeight="1" x14ac:dyDescent="0.2">
      <c r="A1" s="169"/>
      <c r="B1" s="170"/>
      <c r="C1" s="170"/>
      <c r="D1" s="170"/>
      <c r="E1" s="170"/>
      <c r="F1" s="170"/>
      <c r="G1" s="170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2"/>
      <c r="U1" s="171"/>
      <c r="V1" s="173"/>
      <c r="W1" s="171"/>
      <c r="X1" s="174"/>
    </row>
    <row r="2" spans="1:36" ht="18.75" customHeight="1" x14ac:dyDescent="0.4">
      <c r="A2" s="177"/>
      <c r="B2" s="178"/>
      <c r="C2" s="178"/>
      <c r="D2" s="178"/>
      <c r="E2" s="178"/>
      <c r="F2" s="178"/>
      <c r="G2" s="178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80"/>
      <c r="U2" s="179"/>
      <c r="V2" s="181"/>
      <c r="W2" s="179"/>
      <c r="X2" s="182"/>
    </row>
    <row r="3" spans="1:36" ht="24.75" customHeight="1" x14ac:dyDescent="0.2">
      <c r="A3" s="183"/>
      <c r="B3" s="184"/>
      <c r="C3" s="184"/>
      <c r="D3" s="184"/>
      <c r="E3" s="184"/>
      <c r="F3" s="184"/>
      <c r="G3" s="184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6"/>
      <c r="U3" s="185"/>
      <c r="V3" s="562" t="s">
        <v>21</v>
      </c>
      <c r="W3" s="563"/>
      <c r="X3" s="564"/>
    </row>
    <row r="4" spans="1:36" ht="32.25" customHeight="1" thickBot="1" x14ac:dyDescent="0.25">
      <c r="A4" s="187"/>
      <c r="B4" s="188"/>
      <c r="C4" s="188"/>
      <c r="D4" s="188"/>
      <c r="E4" s="188"/>
      <c r="F4" s="188"/>
      <c r="G4" s="188"/>
      <c r="H4" s="189"/>
      <c r="I4" s="189"/>
      <c r="J4" s="189"/>
      <c r="K4" s="190"/>
      <c r="L4" s="189"/>
      <c r="M4" s="189"/>
      <c r="N4" s="189"/>
      <c r="O4" s="189"/>
      <c r="P4" s="189"/>
      <c r="Q4" s="189"/>
      <c r="R4" s="189"/>
      <c r="S4" s="189"/>
      <c r="T4" s="190"/>
      <c r="U4" s="189"/>
      <c r="V4" s="191"/>
      <c r="W4" s="192">
        <v>1</v>
      </c>
      <c r="X4" s="193"/>
    </row>
    <row r="5" spans="1:36" ht="21" customHeight="1" x14ac:dyDescent="0.2">
      <c r="A5" s="565" t="s">
        <v>1</v>
      </c>
      <c r="B5" s="566"/>
      <c r="C5" s="566"/>
      <c r="D5" s="566"/>
      <c r="E5" s="566"/>
      <c r="F5" s="566"/>
      <c r="G5" s="566"/>
      <c r="H5" s="566"/>
      <c r="I5" s="566"/>
      <c r="J5" s="566"/>
      <c r="K5" s="566"/>
      <c r="L5" s="566"/>
      <c r="M5" s="566"/>
      <c r="N5" s="566"/>
      <c r="O5" s="566"/>
      <c r="P5" s="566"/>
      <c r="Q5" s="566"/>
      <c r="R5" s="566"/>
      <c r="S5" s="566"/>
      <c r="T5" s="566"/>
      <c r="U5" s="566"/>
      <c r="V5" s="566"/>
      <c r="W5" s="566"/>
      <c r="X5" s="567"/>
    </row>
    <row r="6" spans="1:36" ht="21" customHeight="1" x14ac:dyDescent="0.2">
      <c r="A6" s="568" t="s">
        <v>836</v>
      </c>
      <c r="B6" s="569"/>
      <c r="C6" s="569"/>
      <c r="D6" s="569"/>
      <c r="E6" s="569"/>
      <c r="F6" s="569"/>
      <c r="G6" s="569"/>
      <c r="H6" s="569"/>
      <c r="I6" s="569"/>
      <c r="J6" s="569"/>
      <c r="K6" s="569"/>
      <c r="L6" s="569"/>
      <c r="M6" s="569"/>
      <c r="N6" s="569"/>
      <c r="O6" s="569"/>
      <c r="P6" s="569"/>
      <c r="Q6" s="569"/>
      <c r="R6" s="569"/>
      <c r="S6" s="569"/>
      <c r="T6" s="569"/>
      <c r="U6" s="569"/>
      <c r="V6" s="569"/>
      <c r="W6" s="569"/>
      <c r="X6" s="570"/>
    </row>
    <row r="7" spans="1:36" s="199" customFormat="1" ht="15" customHeight="1" x14ac:dyDescent="0.25">
      <c r="A7" s="571" t="s">
        <v>45</v>
      </c>
      <c r="B7" s="572"/>
      <c r="C7" s="572"/>
      <c r="D7" s="572"/>
      <c r="E7" s="572"/>
      <c r="F7" s="572"/>
      <c r="G7" s="572"/>
      <c r="H7" s="572"/>
      <c r="I7" s="572"/>
      <c r="J7" s="195" t="s">
        <v>113</v>
      </c>
      <c r="K7" s="196" t="s">
        <v>114</v>
      </c>
      <c r="L7" s="196"/>
      <c r="M7" s="196"/>
      <c r="N7" s="196"/>
      <c r="O7" s="196"/>
      <c r="P7" s="196"/>
      <c r="Q7" s="196"/>
      <c r="R7" s="196"/>
      <c r="S7" s="196"/>
      <c r="T7" s="196"/>
      <c r="U7" s="196"/>
      <c r="V7" s="196"/>
      <c r="W7" s="196"/>
      <c r="X7" s="197"/>
      <c r="Y7" s="198"/>
      <c r="Z7" s="198"/>
      <c r="AA7" s="198"/>
      <c r="AB7" s="198"/>
      <c r="AC7" s="198"/>
      <c r="AD7" s="198"/>
      <c r="AE7" s="198"/>
      <c r="AF7" s="198"/>
      <c r="AG7" s="198"/>
      <c r="AH7" s="198"/>
      <c r="AI7" s="198"/>
      <c r="AJ7" s="198"/>
    </row>
    <row r="8" spans="1:36" s="199" customFormat="1" ht="15" customHeight="1" x14ac:dyDescent="0.25">
      <c r="A8" s="194" t="s">
        <v>115</v>
      </c>
      <c r="B8" s="195"/>
      <c r="C8" s="195"/>
      <c r="D8" s="195"/>
      <c r="E8" s="195"/>
      <c r="F8" s="195"/>
      <c r="G8" s="195"/>
      <c r="H8" s="195"/>
      <c r="I8" s="195"/>
      <c r="J8" s="195" t="s">
        <v>113</v>
      </c>
      <c r="K8" s="200" t="s">
        <v>844</v>
      </c>
      <c r="L8" s="200"/>
      <c r="T8" s="200"/>
      <c r="U8" s="200"/>
      <c r="V8" s="200"/>
      <c r="W8" s="200"/>
      <c r="X8" s="201"/>
      <c r="Y8" s="198"/>
      <c r="Z8" s="198"/>
      <c r="AA8" s="198"/>
      <c r="AB8" s="198"/>
      <c r="AC8" s="198"/>
      <c r="AD8" s="198"/>
      <c r="AE8" s="198"/>
      <c r="AF8" s="198"/>
      <c r="AG8" s="198"/>
      <c r="AH8" s="198"/>
      <c r="AI8" s="198"/>
      <c r="AJ8" s="198"/>
    </row>
    <row r="9" spans="1:36" s="199" customFormat="1" ht="15" customHeight="1" x14ac:dyDescent="0.25">
      <c r="A9" s="573" t="s">
        <v>116</v>
      </c>
      <c r="B9" s="574"/>
      <c r="C9" s="574"/>
      <c r="D9" s="574"/>
      <c r="E9" s="574"/>
      <c r="F9" s="574"/>
      <c r="G9" s="574"/>
      <c r="H9" s="574"/>
      <c r="I9" s="574"/>
      <c r="J9" s="203" t="s">
        <v>113</v>
      </c>
      <c r="K9" s="204" t="s">
        <v>845</v>
      </c>
      <c r="L9" s="196"/>
      <c r="M9" s="204"/>
      <c r="N9" s="204"/>
      <c r="O9" s="204"/>
      <c r="P9" s="204"/>
      <c r="Q9" s="204"/>
      <c r="R9" s="204"/>
      <c r="S9" s="204"/>
      <c r="T9" s="196"/>
      <c r="U9" s="196"/>
      <c r="V9" s="196"/>
      <c r="W9" s="196"/>
      <c r="X9" s="197"/>
      <c r="Y9" s="198"/>
      <c r="Z9" s="198"/>
      <c r="AA9" s="198"/>
      <c r="AB9" s="198"/>
      <c r="AC9" s="198"/>
      <c r="AD9" s="198"/>
      <c r="AE9" s="198"/>
      <c r="AF9" s="198"/>
      <c r="AG9" s="198"/>
      <c r="AH9" s="198"/>
      <c r="AI9" s="198"/>
      <c r="AJ9" s="198"/>
    </row>
    <row r="10" spans="1:36" s="199" customFormat="1" ht="14.25" customHeight="1" x14ac:dyDescent="0.25">
      <c r="A10" s="202" t="s">
        <v>117</v>
      </c>
      <c r="B10" s="203"/>
      <c r="C10" s="205"/>
      <c r="D10" s="205"/>
      <c r="E10" s="205"/>
      <c r="F10" s="205"/>
      <c r="G10" s="205"/>
      <c r="H10" s="205"/>
      <c r="I10" s="203"/>
      <c r="J10" s="195" t="s">
        <v>113</v>
      </c>
      <c r="K10" s="206" t="s">
        <v>616</v>
      </c>
      <c r="L10" s="196"/>
      <c r="M10" s="196"/>
      <c r="N10" s="196"/>
      <c r="O10" s="196"/>
      <c r="P10" s="196"/>
      <c r="Q10" s="196"/>
      <c r="R10" s="196"/>
      <c r="S10" s="196"/>
      <c r="T10" s="207"/>
      <c r="U10" s="196"/>
      <c r="V10" s="196"/>
      <c r="W10" s="196"/>
      <c r="X10" s="197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</row>
    <row r="11" spans="1:36" s="199" customFormat="1" ht="14.25" customHeight="1" x14ac:dyDescent="0.25">
      <c r="A11" s="208" t="s">
        <v>118</v>
      </c>
      <c r="B11" s="209"/>
      <c r="C11" s="210"/>
      <c r="D11" s="210"/>
      <c r="E11" s="210"/>
      <c r="F11" s="210"/>
      <c r="G11" s="210"/>
      <c r="H11" s="210"/>
      <c r="I11" s="209"/>
      <c r="J11" s="195" t="s">
        <v>119</v>
      </c>
      <c r="K11" s="206" t="s">
        <v>114</v>
      </c>
      <c r="L11" s="211"/>
      <c r="M11" s="211"/>
      <c r="N11" s="211"/>
      <c r="O11" s="211"/>
      <c r="P11" s="211"/>
      <c r="Q11" s="211"/>
      <c r="R11" s="211"/>
      <c r="S11" s="211"/>
      <c r="T11" s="212"/>
      <c r="U11" s="211"/>
      <c r="V11" s="211"/>
      <c r="W11" s="211"/>
      <c r="X11" s="213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</row>
    <row r="12" spans="1:36" s="199" customFormat="1" ht="15.75" x14ac:dyDescent="0.25">
      <c r="A12" s="208" t="s">
        <v>120</v>
      </c>
      <c r="B12" s="209"/>
      <c r="C12" s="210"/>
      <c r="D12" s="210"/>
      <c r="E12" s="210"/>
      <c r="F12" s="210"/>
      <c r="G12" s="210"/>
      <c r="H12" s="210"/>
      <c r="I12" s="209"/>
      <c r="J12" s="195" t="s">
        <v>113</v>
      </c>
      <c r="K12" s="214" t="s">
        <v>846</v>
      </c>
      <c r="L12" s="211"/>
      <c r="M12" s="211"/>
      <c r="N12" s="211"/>
      <c r="O12" s="211"/>
      <c r="P12" s="211"/>
      <c r="Q12" s="211"/>
      <c r="R12" s="211"/>
      <c r="S12" s="211"/>
      <c r="T12" s="212"/>
      <c r="U12" s="211"/>
      <c r="V12" s="211"/>
      <c r="W12" s="211"/>
      <c r="X12" s="213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</row>
    <row r="13" spans="1:36" s="199" customFormat="1" ht="18" customHeight="1" x14ac:dyDescent="0.25">
      <c r="A13" s="559" t="s">
        <v>121</v>
      </c>
      <c r="B13" s="560"/>
      <c r="C13" s="560"/>
      <c r="D13" s="560"/>
      <c r="E13" s="560"/>
      <c r="F13" s="560"/>
      <c r="G13" s="560"/>
      <c r="H13" s="560"/>
      <c r="I13" s="560"/>
      <c r="J13" s="560"/>
      <c r="K13" s="560"/>
      <c r="L13" s="560"/>
      <c r="M13" s="560"/>
      <c r="N13" s="560"/>
      <c r="O13" s="560"/>
      <c r="P13" s="560"/>
      <c r="Q13" s="560"/>
      <c r="R13" s="560"/>
      <c r="S13" s="560"/>
      <c r="T13" s="560"/>
      <c r="U13" s="560"/>
      <c r="V13" s="560"/>
      <c r="W13" s="560"/>
      <c r="X13" s="561"/>
    </row>
    <row r="14" spans="1:36" s="199" customFormat="1" ht="15.75" x14ac:dyDescent="0.25">
      <c r="A14" s="578" t="s">
        <v>122</v>
      </c>
      <c r="B14" s="579"/>
      <c r="C14" s="579"/>
      <c r="D14" s="579"/>
      <c r="E14" s="579"/>
      <c r="F14" s="579"/>
      <c r="G14" s="579"/>
      <c r="H14" s="579"/>
      <c r="I14" s="580"/>
      <c r="J14" s="581" t="s">
        <v>123</v>
      </c>
      <c r="K14" s="579"/>
      <c r="L14" s="579"/>
      <c r="M14" s="579"/>
      <c r="N14" s="579"/>
      <c r="O14" s="579"/>
      <c r="P14" s="579"/>
      <c r="Q14" s="579"/>
      <c r="R14" s="579"/>
      <c r="S14" s="579"/>
      <c r="T14" s="579"/>
      <c r="U14" s="579"/>
      <c r="V14" s="581" t="s">
        <v>124</v>
      </c>
      <c r="W14" s="579"/>
      <c r="X14" s="582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</row>
    <row r="15" spans="1:36" s="199" customFormat="1" ht="17.25" customHeight="1" x14ac:dyDescent="0.25">
      <c r="A15" s="573" t="s">
        <v>125</v>
      </c>
      <c r="B15" s="574"/>
      <c r="C15" s="574"/>
      <c r="D15" s="574"/>
      <c r="E15" s="574"/>
      <c r="F15" s="574"/>
      <c r="G15" s="574"/>
      <c r="H15" s="574"/>
      <c r="I15" s="583"/>
      <c r="J15" s="203" t="s">
        <v>119</v>
      </c>
      <c r="K15" s="200"/>
      <c r="L15" s="196"/>
      <c r="M15" s="196"/>
      <c r="N15" s="196"/>
      <c r="O15" s="196"/>
      <c r="P15" s="196"/>
      <c r="Q15" s="196"/>
      <c r="R15" s="196"/>
      <c r="S15" s="196"/>
      <c r="T15" s="207"/>
      <c r="U15" s="196"/>
      <c r="V15" s="215"/>
      <c r="W15" s="196"/>
      <c r="X15" s="197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</row>
    <row r="16" spans="1:36" s="199" customFormat="1" ht="15.75" customHeight="1" x14ac:dyDescent="0.25">
      <c r="A16" s="571" t="s">
        <v>126</v>
      </c>
      <c r="B16" s="572"/>
      <c r="C16" s="572"/>
      <c r="D16" s="572"/>
      <c r="E16" s="572"/>
      <c r="F16" s="572"/>
      <c r="G16" s="572"/>
      <c r="H16" s="572"/>
      <c r="I16" s="584"/>
      <c r="J16" s="216" t="s">
        <v>119</v>
      </c>
      <c r="K16" s="217" t="s">
        <v>127</v>
      </c>
      <c r="L16" s="217"/>
      <c r="M16" s="217"/>
      <c r="N16" s="217"/>
      <c r="O16" s="217"/>
      <c r="P16" s="217"/>
      <c r="Q16" s="217"/>
      <c r="R16" s="217"/>
      <c r="S16" s="217"/>
      <c r="T16" s="218"/>
      <c r="U16" s="217"/>
      <c r="V16" s="591"/>
      <c r="W16" s="592"/>
      <c r="X16" s="593"/>
      <c r="Y16" s="198"/>
      <c r="Z16" s="198"/>
      <c r="AA16" s="198"/>
      <c r="AB16" s="198"/>
      <c r="AC16" s="198"/>
      <c r="AD16" s="198"/>
      <c r="AE16" s="198"/>
      <c r="AF16" s="198"/>
      <c r="AG16" s="198"/>
      <c r="AH16" s="198"/>
      <c r="AI16" s="198"/>
      <c r="AJ16" s="198"/>
    </row>
    <row r="17" spans="1:51" s="199" customFormat="1" ht="15.75" customHeight="1" x14ac:dyDescent="0.25">
      <c r="A17" s="585"/>
      <c r="B17" s="586"/>
      <c r="C17" s="586"/>
      <c r="D17" s="586"/>
      <c r="E17" s="586"/>
      <c r="F17" s="586"/>
      <c r="G17" s="586"/>
      <c r="H17" s="586"/>
      <c r="I17" s="587"/>
      <c r="J17" s="222" t="s">
        <v>119</v>
      </c>
      <c r="K17" s="223" t="s">
        <v>128</v>
      </c>
      <c r="L17" s="223"/>
      <c r="M17" s="223"/>
      <c r="N17" s="223"/>
      <c r="O17" s="223"/>
      <c r="P17" s="223"/>
      <c r="Q17" s="223"/>
      <c r="R17" s="223"/>
      <c r="S17" s="223"/>
      <c r="T17" s="224"/>
      <c r="U17" s="223"/>
      <c r="V17" s="594"/>
      <c r="W17" s="595"/>
      <c r="X17" s="596"/>
      <c r="Y17" s="198"/>
      <c r="Z17" s="198"/>
      <c r="AA17" s="198"/>
      <c r="AB17" s="198"/>
      <c r="AC17" s="198"/>
      <c r="AD17" s="198"/>
      <c r="AE17" s="198"/>
      <c r="AF17" s="198"/>
      <c r="AG17" s="198"/>
      <c r="AH17" s="198"/>
      <c r="AI17" s="198"/>
      <c r="AJ17" s="198"/>
    </row>
    <row r="18" spans="1:51" s="199" customFormat="1" ht="13.5" customHeight="1" x14ac:dyDescent="0.25">
      <c r="A18" s="585"/>
      <c r="B18" s="586"/>
      <c r="C18" s="586"/>
      <c r="D18" s="586"/>
      <c r="E18" s="586"/>
      <c r="F18" s="586"/>
      <c r="G18" s="586"/>
      <c r="H18" s="586"/>
      <c r="I18" s="587"/>
      <c r="J18" s="222" t="s">
        <v>119</v>
      </c>
      <c r="K18" s="223" t="s">
        <v>129</v>
      </c>
      <c r="L18" s="223"/>
      <c r="M18" s="223"/>
      <c r="N18" s="223"/>
      <c r="O18" s="223"/>
      <c r="P18" s="223"/>
      <c r="Q18" s="223"/>
      <c r="R18" s="223"/>
      <c r="S18" s="223"/>
      <c r="T18" s="224"/>
      <c r="U18" s="223"/>
      <c r="V18" s="594"/>
      <c r="W18" s="595"/>
      <c r="X18" s="596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</row>
    <row r="19" spans="1:51" s="199" customFormat="1" ht="15.75" customHeight="1" x14ac:dyDescent="0.25">
      <c r="A19" s="588"/>
      <c r="B19" s="589"/>
      <c r="C19" s="589"/>
      <c r="D19" s="589"/>
      <c r="E19" s="589"/>
      <c r="F19" s="589"/>
      <c r="G19" s="589"/>
      <c r="H19" s="589"/>
      <c r="I19" s="590"/>
      <c r="J19" s="226" t="s">
        <v>119</v>
      </c>
      <c r="K19" s="211" t="s">
        <v>130</v>
      </c>
      <c r="L19" s="211"/>
      <c r="M19" s="211"/>
      <c r="N19" s="211"/>
      <c r="O19" s="211"/>
      <c r="P19" s="211"/>
      <c r="Q19" s="211"/>
      <c r="R19" s="211"/>
      <c r="S19" s="211"/>
      <c r="T19" s="212"/>
      <c r="U19" s="211"/>
      <c r="V19" s="597"/>
      <c r="W19" s="598"/>
      <c r="X19" s="599"/>
      <c r="Y19" s="198"/>
      <c r="Z19" s="198"/>
      <c r="AA19" s="198"/>
      <c r="AB19" s="198"/>
      <c r="AC19" s="198"/>
      <c r="AD19" s="198"/>
      <c r="AE19" s="198"/>
      <c r="AF19" s="198"/>
      <c r="AG19" s="198"/>
      <c r="AH19" s="198"/>
      <c r="AI19" s="198"/>
      <c r="AJ19" s="198"/>
    </row>
    <row r="20" spans="1:51" s="199" customFormat="1" ht="15.75" customHeight="1" x14ac:dyDescent="0.25">
      <c r="A20" s="585" t="s">
        <v>131</v>
      </c>
      <c r="B20" s="586"/>
      <c r="C20" s="586"/>
      <c r="D20" s="586"/>
      <c r="E20" s="586"/>
      <c r="F20" s="586"/>
      <c r="G20" s="586"/>
      <c r="H20" s="586"/>
      <c r="I20" s="587"/>
      <c r="J20" s="220" t="s">
        <v>119</v>
      </c>
      <c r="K20" s="200" t="s">
        <v>847</v>
      </c>
      <c r="L20" s="196"/>
      <c r="M20" s="196"/>
      <c r="N20" s="196"/>
      <c r="O20" s="196"/>
      <c r="P20" s="196"/>
      <c r="Q20" s="196"/>
      <c r="R20" s="196"/>
      <c r="S20" s="196"/>
      <c r="T20" s="207"/>
      <c r="U20" s="196"/>
      <c r="V20" s="575"/>
      <c r="W20" s="576"/>
      <c r="X20" s="577"/>
      <c r="Y20" s="198"/>
      <c r="Z20" s="198"/>
      <c r="AA20" s="198"/>
      <c r="AB20" s="198"/>
      <c r="AC20" s="198"/>
      <c r="AD20" s="198"/>
      <c r="AE20" s="198"/>
      <c r="AF20" s="198"/>
      <c r="AG20" s="198"/>
      <c r="AH20" s="198"/>
      <c r="AI20" s="198"/>
      <c r="AJ20" s="198"/>
    </row>
    <row r="21" spans="1:51" s="199" customFormat="1" ht="15.75" customHeight="1" x14ac:dyDescent="0.25">
      <c r="A21" s="219"/>
      <c r="B21" s="220"/>
      <c r="C21" s="220"/>
      <c r="D21" s="220"/>
      <c r="E21" s="220"/>
      <c r="F21" s="220"/>
      <c r="G21" s="220"/>
      <c r="H21" s="220"/>
      <c r="I21" s="221"/>
      <c r="J21" s="229"/>
      <c r="K21" s="200" t="s">
        <v>848</v>
      </c>
      <c r="L21" s="196"/>
      <c r="M21" s="196"/>
      <c r="N21" s="196"/>
      <c r="O21" s="196"/>
      <c r="P21" s="196"/>
      <c r="Q21" s="196"/>
      <c r="R21" s="196"/>
      <c r="S21" s="196"/>
      <c r="T21" s="207"/>
      <c r="U21" s="196"/>
      <c r="V21" s="575"/>
      <c r="W21" s="576"/>
      <c r="X21" s="577"/>
      <c r="Y21" s="198"/>
      <c r="Z21" s="198"/>
      <c r="AA21" s="198"/>
      <c r="AB21" s="198"/>
      <c r="AC21" s="198"/>
      <c r="AD21" s="198"/>
      <c r="AE21" s="198"/>
      <c r="AF21" s="198"/>
      <c r="AG21" s="198"/>
      <c r="AH21" s="198"/>
      <c r="AI21" s="198"/>
      <c r="AJ21" s="198"/>
    </row>
    <row r="22" spans="1:51" s="199" customFormat="1" ht="15.75" x14ac:dyDescent="0.25">
      <c r="A22" s="219"/>
      <c r="B22" s="220"/>
      <c r="C22" s="220"/>
      <c r="D22" s="220"/>
      <c r="E22" s="220"/>
      <c r="F22" s="220"/>
      <c r="G22" s="220"/>
      <c r="H22" s="220"/>
      <c r="I22" s="221"/>
      <c r="J22" s="229"/>
      <c r="K22" s="600"/>
      <c r="L22" s="600"/>
      <c r="M22" s="600"/>
      <c r="N22" s="600"/>
      <c r="O22" s="600"/>
      <c r="P22" s="600"/>
      <c r="Q22" s="600"/>
      <c r="R22" s="600"/>
      <c r="S22" s="600"/>
      <c r="T22" s="600"/>
      <c r="U22" s="601"/>
      <c r="V22" s="575"/>
      <c r="W22" s="576"/>
      <c r="X22" s="577"/>
      <c r="Y22" s="198"/>
      <c r="Z22" s="198"/>
      <c r="AA22" s="198"/>
      <c r="AB22" s="198"/>
      <c r="AC22" s="198"/>
      <c r="AD22" s="198"/>
      <c r="AE22" s="198"/>
      <c r="AF22" s="198"/>
      <c r="AG22" s="198"/>
      <c r="AH22" s="198"/>
      <c r="AI22" s="198"/>
      <c r="AJ22" s="198"/>
    </row>
    <row r="23" spans="1:51" s="199" customFormat="1" ht="15.75" customHeight="1" x14ac:dyDescent="0.25">
      <c r="A23" s="219"/>
      <c r="B23" s="220"/>
      <c r="C23" s="220"/>
      <c r="D23" s="220"/>
      <c r="E23" s="220"/>
      <c r="F23" s="220"/>
      <c r="G23" s="220"/>
      <c r="H23" s="220"/>
      <c r="I23" s="221"/>
      <c r="J23" s="229"/>
      <c r="K23" s="204"/>
      <c r="L23" s="211"/>
      <c r="M23" s="211"/>
      <c r="N23" s="211"/>
      <c r="O23" s="211"/>
      <c r="P23" s="211"/>
      <c r="Q23" s="211"/>
      <c r="R23" s="211"/>
      <c r="S23" s="211"/>
      <c r="T23" s="212"/>
      <c r="U23" s="211"/>
      <c r="V23" s="575"/>
      <c r="W23" s="576"/>
      <c r="X23" s="577"/>
      <c r="Y23" s="198"/>
      <c r="Z23" s="198"/>
      <c r="AA23" s="198"/>
      <c r="AB23" s="198"/>
      <c r="AC23" s="198"/>
      <c r="AD23" s="198"/>
      <c r="AE23" s="198"/>
      <c r="AF23" s="198"/>
      <c r="AG23" s="198"/>
      <c r="AH23" s="198"/>
      <c r="AI23" s="198"/>
      <c r="AJ23" s="198"/>
    </row>
    <row r="24" spans="1:51" s="199" customFormat="1" ht="16.5" customHeight="1" x14ac:dyDescent="0.25">
      <c r="A24" s="573" t="s">
        <v>132</v>
      </c>
      <c r="B24" s="574"/>
      <c r="C24" s="574"/>
      <c r="D24" s="574"/>
      <c r="E24" s="574"/>
      <c r="F24" s="574"/>
      <c r="G24" s="574"/>
      <c r="H24" s="574"/>
      <c r="I24" s="583"/>
      <c r="J24" s="203" t="s">
        <v>119</v>
      </c>
      <c r="K24" s="200"/>
      <c r="L24" s="196"/>
      <c r="M24" s="196"/>
      <c r="N24" s="196"/>
      <c r="O24" s="196"/>
      <c r="P24" s="196"/>
      <c r="Q24" s="196"/>
      <c r="R24" s="196"/>
      <c r="S24" s="196"/>
      <c r="T24" s="207"/>
      <c r="U24" s="196"/>
      <c r="V24" s="230"/>
      <c r="W24" s="196"/>
      <c r="X24" s="197"/>
      <c r="Y24" s="198"/>
      <c r="Z24" s="198"/>
      <c r="AA24" s="198"/>
      <c r="AB24" s="198"/>
      <c r="AC24" s="198"/>
      <c r="AD24" s="198"/>
      <c r="AE24" s="198"/>
      <c r="AF24" s="198"/>
      <c r="AG24" s="198"/>
      <c r="AH24" s="198"/>
      <c r="AI24" s="198"/>
      <c r="AJ24" s="198"/>
    </row>
    <row r="25" spans="1:51" s="199" customFormat="1" ht="16.5" customHeight="1" x14ac:dyDescent="0.25">
      <c r="A25" s="208"/>
      <c r="B25" s="209"/>
      <c r="C25" s="209"/>
      <c r="D25" s="209"/>
      <c r="E25" s="209"/>
      <c r="F25" s="209"/>
      <c r="G25" s="209"/>
      <c r="H25" s="209"/>
      <c r="I25" s="225"/>
      <c r="J25" s="209"/>
      <c r="K25" s="200"/>
      <c r="L25" s="211"/>
      <c r="M25" s="211"/>
      <c r="N25" s="211"/>
      <c r="O25" s="211"/>
      <c r="P25" s="211"/>
      <c r="Q25" s="211"/>
      <c r="R25" s="211"/>
      <c r="S25" s="211"/>
      <c r="T25" s="212"/>
      <c r="U25" s="211"/>
      <c r="V25" s="230"/>
      <c r="W25" s="211"/>
      <c r="X25" s="213"/>
      <c r="Y25" s="198"/>
      <c r="Z25" s="198"/>
      <c r="AA25" s="198"/>
      <c r="AB25" s="198"/>
      <c r="AC25" s="198"/>
      <c r="AD25" s="198"/>
      <c r="AE25" s="198"/>
      <c r="AF25" s="198"/>
      <c r="AG25" s="198"/>
      <c r="AH25" s="198"/>
      <c r="AI25" s="198"/>
      <c r="AJ25" s="198"/>
    </row>
    <row r="26" spans="1:51" s="199" customFormat="1" ht="16.5" customHeight="1" x14ac:dyDescent="0.25">
      <c r="A26" s="208"/>
      <c r="B26" s="209"/>
      <c r="C26" s="209"/>
      <c r="D26" s="209"/>
      <c r="E26" s="209"/>
      <c r="F26" s="209"/>
      <c r="G26" s="209"/>
      <c r="H26" s="209"/>
      <c r="I26" s="225"/>
      <c r="J26" s="209"/>
      <c r="K26" s="200"/>
      <c r="L26" s="211"/>
      <c r="M26" s="211"/>
      <c r="N26" s="211"/>
      <c r="O26" s="211"/>
      <c r="P26" s="211"/>
      <c r="Q26" s="211"/>
      <c r="R26" s="211"/>
      <c r="S26" s="211"/>
      <c r="T26" s="212"/>
      <c r="U26" s="211"/>
      <c r="V26" s="230"/>
      <c r="W26" s="211"/>
      <c r="X26" s="213"/>
      <c r="Y26" s="198"/>
      <c r="Z26" s="198"/>
      <c r="AA26" s="198"/>
      <c r="AB26" s="198"/>
      <c r="AC26" s="198"/>
      <c r="AD26" s="198"/>
      <c r="AE26" s="198"/>
      <c r="AF26" s="198"/>
      <c r="AG26" s="198"/>
      <c r="AH26" s="198"/>
      <c r="AI26" s="198"/>
      <c r="AJ26" s="198"/>
    </row>
    <row r="27" spans="1:51" s="199" customFormat="1" ht="16.5" customHeight="1" x14ac:dyDescent="0.25">
      <c r="A27" s="208"/>
      <c r="B27" s="209"/>
      <c r="C27" s="209"/>
      <c r="D27" s="209"/>
      <c r="E27" s="209"/>
      <c r="F27" s="209"/>
      <c r="G27" s="209"/>
      <c r="H27" s="209"/>
      <c r="I27" s="225"/>
      <c r="J27" s="209"/>
      <c r="K27" s="200"/>
      <c r="L27" s="211"/>
      <c r="M27" s="211"/>
      <c r="N27" s="211"/>
      <c r="O27" s="211"/>
      <c r="P27" s="211"/>
      <c r="Q27" s="211"/>
      <c r="R27" s="211"/>
      <c r="S27" s="211"/>
      <c r="T27" s="212"/>
      <c r="U27" s="211"/>
      <c r="V27" s="231"/>
      <c r="W27" s="211"/>
      <c r="X27" s="213"/>
      <c r="Y27" s="198"/>
      <c r="Z27" s="198"/>
      <c r="AA27" s="198"/>
      <c r="AB27" s="198"/>
      <c r="AC27" s="198"/>
      <c r="AD27" s="198"/>
      <c r="AE27" s="198"/>
      <c r="AF27" s="198"/>
      <c r="AG27" s="198"/>
      <c r="AH27" s="198"/>
      <c r="AI27" s="198"/>
      <c r="AJ27" s="198"/>
    </row>
    <row r="28" spans="1:51" s="199" customFormat="1" ht="18.75" customHeight="1" x14ac:dyDescent="0.25">
      <c r="A28" s="602" t="s">
        <v>133</v>
      </c>
      <c r="B28" s="603"/>
      <c r="C28" s="603"/>
      <c r="D28" s="603"/>
      <c r="E28" s="603"/>
      <c r="F28" s="603"/>
      <c r="G28" s="603"/>
      <c r="H28" s="603"/>
      <c r="I28" s="604"/>
      <c r="J28" s="209" t="s">
        <v>119</v>
      </c>
      <c r="K28" s="200"/>
      <c r="L28" s="211"/>
      <c r="M28" s="211"/>
      <c r="N28" s="211"/>
      <c r="O28" s="211"/>
      <c r="P28" s="211"/>
      <c r="Q28" s="211"/>
      <c r="R28" s="211"/>
      <c r="S28" s="211"/>
      <c r="T28" s="212"/>
      <c r="U28" s="211"/>
      <c r="V28" s="200"/>
      <c r="W28" s="232"/>
      <c r="X28" s="233"/>
      <c r="Y28" s="198"/>
      <c r="Z28" s="198"/>
      <c r="AA28" s="198"/>
      <c r="AB28" s="198"/>
      <c r="AC28" s="198"/>
      <c r="AD28" s="198"/>
      <c r="AE28" s="198"/>
      <c r="AF28" s="198"/>
      <c r="AG28" s="198"/>
      <c r="AH28" s="198"/>
      <c r="AI28" s="198"/>
      <c r="AJ28" s="198"/>
    </row>
    <row r="29" spans="1:51" s="199" customFormat="1" ht="15.75" x14ac:dyDescent="0.25">
      <c r="A29" s="605" t="s">
        <v>134</v>
      </c>
      <c r="B29" s="606"/>
      <c r="C29" s="606"/>
      <c r="D29" s="606"/>
      <c r="E29" s="606"/>
      <c r="F29" s="606"/>
      <c r="G29" s="606"/>
      <c r="H29" s="606"/>
      <c r="I29" s="606"/>
      <c r="J29" s="606"/>
      <c r="K29" s="606"/>
      <c r="L29" s="606"/>
      <c r="M29" s="606"/>
      <c r="N29" s="606"/>
      <c r="O29" s="606"/>
      <c r="P29" s="606"/>
      <c r="Q29" s="606"/>
      <c r="R29" s="606"/>
      <c r="S29" s="606"/>
      <c r="T29" s="606"/>
      <c r="U29" s="606"/>
      <c r="V29" s="606"/>
      <c r="W29" s="606"/>
      <c r="X29" s="607"/>
    </row>
    <row r="30" spans="1:51" s="199" customFormat="1" ht="16.5" thickBot="1" x14ac:dyDescent="0.3">
      <c r="A30" s="608" t="s">
        <v>135</v>
      </c>
      <c r="B30" s="609"/>
      <c r="C30" s="609"/>
      <c r="D30" s="609"/>
      <c r="E30" s="609"/>
      <c r="F30" s="609"/>
      <c r="G30" s="609"/>
      <c r="H30" s="609"/>
      <c r="I30" s="609"/>
      <c r="J30" s="609"/>
      <c r="K30" s="609"/>
      <c r="L30" s="609"/>
      <c r="M30" s="609"/>
      <c r="N30" s="609"/>
      <c r="O30" s="609"/>
      <c r="P30" s="609"/>
      <c r="Q30" s="609"/>
      <c r="R30" s="609"/>
      <c r="S30" s="609"/>
      <c r="T30" s="609"/>
      <c r="U30" s="609"/>
      <c r="V30" s="609"/>
      <c r="W30" s="609"/>
      <c r="X30" s="610"/>
    </row>
    <row r="31" spans="1:51" s="199" customFormat="1" ht="10.5" customHeight="1" x14ac:dyDescent="0.25">
      <c r="A31" s="611" t="s">
        <v>136</v>
      </c>
      <c r="B31" s="612"/>
      <c r="C31" s="612"/>
      <c r="D31" s="612"/>
      <c r="E31" s="612"/>
      <c r="F31" s="612"/>
      <c r="G31" s="612"/>
      <c r="H31" s="613"/>
      <c r="I31" s="620" t="s">
        <v>137</v>
      </c>
      <c r="J31" s="612"/>
      <c r="K31" s="613"/>
      <c r="L31" s="620" t="s">
        <v>138</v>
      </c>
      <c r="M31" s="612"/>
      <c r="N31" s="612"/>
      <c r="O31" s="612"/>
      <c r="P31" s="612"/>
      <c r="Q31" s="612"/>
      <c r="R31" s="612"/>
      <c r="S31" s="612"/>
      <c r="T31" s="612"/>
      <c r="U31" s="612"/>
      <c r="V31" s="613"/>
      <c r="W31" s="623" t="s">
        <v>139</v>
      </c>
      <c r="X31" s="625" t="s">
        <v>140</v>
      </c>
      <c r="Y31" s="636" t="s">
        <v>567</v>
      </c>
      <c r="Z31" s="636"/>
      <c r="AA31" s="636"/>
      <c r="AB31" s="636"/>
      <c r="AC31" s="636"/>
      <c r="AD31" s="636"/>
      <c r="AE31" s="636"/>
      <c r="AF31" s="636"/>
      <c r="AG31" s="636"/>
      <c r="AH31" s="636"/>
      <c r="AI31" s="636"/>
      <c r="AJ31" s="637"/>
      <c r="AK31" s="642" t="s">
        <v>139</v>
      </c>
      <c r="AL31" s="645" t="s">
        <v>568</v>
      </c>
      <c r="AM31" s="636"/>
      <c r="AN31" s="636"/>
      <c r="AO31" s="636"/>
      <c r="AP31" s="636"/>
      <c r="AQ31" s="636"/>
      <c r="AR31" s="636"/>
      <c r="AS31" s="636"/>
      <c r="AT31" s="636"/>
      <c r="AU31" s="636"/>
      <c r="AV31" s="636"/>
      <c r="AW31" s="637"/>
      <c r="AX31" s="642" t="s">
        <v>139</v>
      </c>
      <c r="AY31" s="648" t="s">
        <v>141</v>
      </c>
    </row>
    <row r="32" spans="1:51" s="199" customFormat="1" ht="6.75" customHeight="1" x14ac:dyDescent="0.25">
      <c r="A32" s="614"/>
      <c r="B32" s="615"/>
      <c r="C32" s="615"/>
      <c r="D32" s="615"/>
      <c r="E32" s="615"/>
      <c r="F32" s="615"/>
      <c r="G32" s="615"/>
      <c r="H32" s="616"/>
      <c r="I32" s="621"/>
      <c r="J32" s="615"/>
      <c r="K32" s="616"/>
      <c r="L32" s="621"/>
      <c r="M32" s="615"/>
      <c r="N32" s="615"/>
      <c r="O32" s="615"/>
      <c r="P32" s="615"/>
      <c r="Q32" s="615"/>
      <c r="R32" s="615"/>
      <c r="S32" s="615"/>
      <c r="T32" s="615"/>
      <c r="U32" s="615"/>
      <c r="V32" s="616"/>
      <c r="W32" s="624"/>
      <c r="X32" s="626"/>
      <c r="Y32" s="638"/>
      <c r="Z32" s="638"/>
      <c r="AA32" s="638"/>
      <c r="AB32" s="638"/>
      <c r="AC32" s="638"/>
      <c r="AD32" s="638"/>
      <c r="AE32" s="638"/>
      <c r="AF32" s="638"/>
      <c r="AG32" s="638"/>
      <c r="AH32" s="638"/>
      <c r="AI32" s="638"/>
      <c r="AJ32" s="639"/>
      <c r="AK32" s="643"/>
      <c r="AL32" s="646"/>
      <c r="AM32" s="638"/>
      <c r="AN32" s="638"/>
      <c r="AO32" s="638"/>
      <c r="AP32" s="638"/>
      <c r="AQ32" s="638"/>
      <c r="AR32" s="638"/>
      <c r="AS32" s="638"/>
      <c r="AT32" s="638"/>
      <c r="AU32" s="638"/>
      <c r="AV32" s="638"/>
      <c r="AW32" s="639"/>
      <c r="AX32" s="643"/>
      <c r="AY32" s="649"/>
    </row>
    <row r="33" spans="1:51" s="199" customFormat="1" ht="10.5" customHeight="1" thickBot="1" x14ac:dyDescent="0.3">
      <c r="A33" s="614"/>
      <c r="B33" s="615"/>
      <c r="C33" s="615"/>
      <c r="D33" s="615"/>
      <c r="E33" s="615"/>
      <c r="F33" s="615"/>
      <c r="G33" s="615"/>
      <c r="H33" s="616"/>
      <c r="I33" s="621"/>
      <c r="J33" s="615"/>
      <c r="K33" s="616"/>
      <c r="L33" s="628" t="s">
        <v>79</v>
      </c>
      <c r="M33" s="629"/>
      <c r="N33" s="629"/>
      <c r="O33" s="629"/>
      <c r="P33" s="629"/>
      <c r="Q33" s="629"/>
      <c r="R33" s="629"/>
      <c r="S33" s="630"/>
      <c r="T33" s="631" t="s">
        <v>80</v>
      </c>
      <c r="U33" s="631" t="s">
        <v>81</v>
      </c>
      <c r="V33" s="631" t="s">
        <v>82</v>
      </c>
      <c r="W33" s="624"/>
      <c r="X33" s="626"/>
      <c r="Y33" s="640"/>
      <c r="Z33" s="640"/>
      <c r="AA33" s="640"/>
      <c r="AB33" s="640"/>
      <c r="AC33" s="640"/>
      <c r="AD33" s="640"/>
      <c r="AE33" s="640"/>
      <c r="AF33" s="640"/>
      <c r="AG33" s="640"/>
      <c r="AH33" s="640"/>
      <c r="AI33" s="640"/>
      <c r="AJ33" s="641"/>
      <c r="AK33" s="643"/>
      <c r="AL33" s="647"/>
      <c r="AM33" s="640"/>
      <c r="AN33" s="640"/>
      <c r="AO33" s="640"/>
      <c r="AP33" s="640"/>
      <c r="AQ33" s="640"/>
      <c r="AR33" s="640"/>
      <c r="AS33" s="640"/>
      <c r="AT33" s="640"/>
      <c r="AU33" s="640"/>
      <c r="AV33" s="640"/>
      <c r="AW33" s="641"/>
      <c r="AX33" s="643"/>
      <c r="AY33" s="649"/>
    </row>
    <row r="34" spans="1:51" s="199" customFormat="1" ht="8.25" customHeight="1" thickBot="1" x14ac:dyDescent="0.3">
      <c r="A34" s="614"/>
      <c r="B34" s="615"/>
      <c r="C34" s="615"/>
      <c r="D34" s="615"/>
      <c r="E34" s="615"/>
      <c r="F34" s="615"/>
      <c r="G34" s="615"/>
      <c r="H34" s="616"/>
      <c r="I34" s="621"/>
      <c r="J34" s="615"/>
      <c r="K34" s="616"/>
      <c r="L34" s="621"/>
      <c r="M34" s="615"/>
      <c r="N34" s="615"/>
      <c r="O34" s="615"/>
      <c r="P34" s="615"/>
      <c r="Q34" s="615"/>
      <c r="R34" s="615"/>
      <c r="S34" s="616"/>
      <c r="T34" s="632"/>
      <c r="U34" s="632"/>
      <c r="V34" s="632"/>
      <c r="W34" s="634" t="s">
        <v>142</v>
      </c>
      <c r="X34" s="626"/>
      <c r="Y34" s="653" t="s">
        <v>50</v>
      </c>
      <c r="Z34" s="655" t="s">
        <v>53</v>
      </c>
      <c r="AA34" s="655" t="s">
        <v>55</v>
      </c>
      <c r="AB34" s="655" t="s">
        <v>57</v>
      </c>
      <c r="AC34" s="657" t="s">
        <v>59</v>
      </c>
      <c r="AD34" s="657" t="s">
        <v>61</v>
      </c>
      <c r="AE34" s="657" t="s">
        <v>101</v>
      </c>
      <c r="AF34" s="657" t="s">
        <v>107</v>
      </c>
      <c r="AG34" s="651" t="s">
        <v>143</v>
      </c>
      <c r="AH34" s="651" t="s">
        <v>144</v>
      </c>
      <c r="AI34" s="651" t="s">
        <v>145</v>
      </c>
      <c r="AJ34" s="651" t="s">
        <v>146</v>
      </c>
      <c r="AK34" s="643"/>
      <c r="AL34" s="655" t="s">
        <v>50</v>
      </c>
      <c r="AM34" s="655" t="s">
        <v>53</v>
      </c>
      <c r="AN34" s="655" t="s">
        <v>55</v>
      </c>
      <c r="AO34" s="655" t="s">
        <v>57</v>
      </c>
      <c r="AP34" s="657" t="s">
        <v>59</v>
      </c>
      <c r="AQ34" s="657" t="s">
        <v>61</v>
      </c>
      <c r="AR34" s="657" t="s">
        <v>101</v>
      </c>
      <c r="AS34" s="657" t="s">
        <v>107</v>
      </c>
      <c r="AT34" s="651" t="s">
        <v>143</v>
      </c>
      <c r="AU34" s="651" t="s">
        <v>144</v>
      </c>
      <c r="AV34" s="651" t="s">
        <v>145</v>
      </c>
      <c r="AW34" s="651" t="s">
        <v>146</v>
      </c>
      <c r="AX34" s="643"/>
      <c r="AY34" s="649"/>
    </row>
    <row r="35" spans="1:51" s="199" customFormat="1" ht="12.75" customHeight="1" thickBot="1" x14ac:dyDescent="0.3">
      <c r="A35" s="617"/>
      <c r="B35" s="618"/>
      <c r="C35" s="618"/>
      <c r="D35" s="618"/>
      <c r="E35" s="618"/>
      <c r="F35" s="618"/>
      <c r="G35" s="618"/>
      <c r="H35" s="619"/>
      <c r="I35" s="622"/>
      <c r="J35" s="618"/>
      <c r="K35" s="619"/>
      <c r="L35" s="622"/>
      <c r="M35" s="618"/>
      <c r="N35" s="618"/>
      <c r="O35" s="618"/>
      <c r="P35" s="618"/>
      <c r="Q35" s="618"/>
      <c r="R35" s="618"/>
      <c r="S35" s="619"/>
      <c r="T35" s="633"/>
      <c r="U35" s="633"/>
      <c r="V35" s="633"/>
      <c r="W35" s="635"/>
      <c r="X35" s="627"/>
      <c r="Y35" s="654"/>
      <c r="Z35" s="656"/>
      <c r="AA35" s="656"/>
      <c r="AB35" s="656"/>
      <c r="AC35" s="658"/>
      <c r="AD35" s="658"/>
      <c r="AE35" s="658"/>
      <c r="AF35" s="658"/>
      <c r="AG35" s="652"/>
      <c r="AH35" s="652"/>
      <c r="AI35" s="652"/>
      <c r="AJ35" s="652"/>
      <c r="AK35" s="644"/>
      <c r="AL35" s="656"/>
      <c r="AM35" s="656"/>
      <c r="AN35" s="656"/>
      <c r="AO35" s="656"/>
      <c r="AP35" s="658"/>
      <c r="AQ35" s="658"/>
      <c r="AR35" s="658"/>
      <c r="AS35" s="658"/>
      <c r="AT35" s="652"/>
      <c r="AU35" s="652"/>
      <c r="AV35" s="652"/>
      <c r="AW35" s="652"/>
      <c r="AX35" s="644"/>
      <c r="AY35" s="650"/>
    </row>
    <row r="36" spans="1:51" s="199" customFormat="1" ht="15.75" x14ac:dyDescent="0.25">
      <c r="A36" s="661">
        <v>1</v>
      </c>
      <c r="B36" s="662"/>
      <c r="C36" s="662"/>
      <c r="D36" s="662"/>
      <c r="E36" s="662"/>
      <c r="F36" s="662"/>
      <c r="G36" s="662"/>
      <c r="H36" s="663"/>
      <c r="I36" s="664">
        <v>2</v>
      </c>
      <c r="J36" s="665"/>
      <c r="K36" s="666"/>
      <c r="L36" s="664">
        <v>3</v>
      </c>
      <c r="M36" s="665"/>
      <c r="N36" s="665"/>
      <c r="O36" s="665"/>
      <c r="P36" s="665"/>
      <c r="Q36" s="665"/>
      <c r="R36" s="665"/>
      <c r="S36" s="665"/>
      <c r="T36" s="234">
        <v>4</v>
      </c>
      <c r="U36" s="235">
        <v>5</v>
      </c>
      <c r="V36" s="236">
        <v>6</v>
      </c>
      <c r="W36" s="237" t="s">
        <v>147</v>
      </c>
      <c r="X36" s="237">
        <v>8</v>
      </c>
      <c r="Y36" s="238"/>
      <c r="Z36" s="239"/>
      <c r="AA36" s="239"/>
      <c r="AB36" s="239"/>
      <c r="AC36" s="240"/>
      <c r="AD36" s="240"/>
      <c r="AE36" s="240"/>
      <c r="AF36" s="240"/>
      <c r="AG36" s="241"/>
      <c r="AH36" s="241"/>
      <c r="AI36" s="241"/>
      <c r="AJ36" s="242"/>
      <c r="AK36" s="243"/>
      <c r="AL36" s="244"/>
      <c r="AM36" s="239"/>
      <c r="AN36" s="239"/>
      <c r="AO36" s="239"/>
      <c r="AP36" s="240"/>
      <c r="AQ36" s="240"/>
      <c r="AR36" s="240"/>
      <c r="AS36" s="240"/>
      <c r="AT36" s="241"/>
      <c r="AU36" s="241"/>
      <c r="AV36" s="241"/>
      <c r="AW36" s="242"/>
      <c r="AX36" s="243"/>
      <c r="AY36" s="245"/>
    </row>
    <row r="37" spans="1:51" s="268" customFormat="1" ht="15" customHeight="1" x14ac:dyDescent="0.25">
      <c r="A37" s="246"/>
      <c r="B37" s="247" t="s">
        <v>59</v>
      </c>
      <c r="C37" s="247"/>
      <c r="D37" s="247"/>
      <c r="E37" s="247"/>
      <c r="F37" s="247"/>
      <c r="G37" s="247"/>
      <c r="H37" s="248"/>
      <c r="I37" s="249"/>
      <c r="J37" s="250" t="s">
        <v>148</v>
      </c>
      <c r="K37" s="251"/>
      <c r="L37" s="252"/>
      <c r="M37" s="253"/>
      <c r="N37" s="253"/>
      <c r="O37" s="253"/>
      <c r="P37" s="253"/>
      <c r="Q37" s="253"/>
      <c r="R37" s="253"/>
      <c r="S37" s="253"/>
      <c r="T37" s="254"/>
      <c r="U37" s="254"/>
      <c r="V37" s="255"/>
      <c r="W37" s="256">
        <f t="shared" ref="W37:W38" si="0">W38</f>
        <v>480000</v>
      </c>
      <c r="X37" s="257"/>
      <c r="Y37" s="258"/>
      <c r="Z37" s="259"/>
      <c r="AA37" s="260"/>
      <c r="AB37" s="261"/>
      <c r="AC37" s="262"/>
      <c r="AD37" s="262"/>
      <c r="AE37" s="262"/>
      <c r="AF37" s="262"/>
      <c r="AG37" s="263"/>
      <c r="AH37" s="263"/>
      <c r="AI37" s="263"/>
      <c r="AJ37" s="264"/>
      <c r="AK37" s="265"/>
      <c r="AL37" s="266"/>
      <c r="AM37" s="259"/>
      <c r="AN37" s="260"/>
      <c r="AO37" s="261"/>
      <c r="AP37" s="262"/>
      <c r="AQ37" s="262"/>
      <c r="AR37" s="262"/>
      <c r="AS37" s="262"/>
      <c r="AT37" s="263"/>
      <c r="AU37" s="263"/>
      <c r="AV37" s="263"/>
      <c r="AW37" s="264"/>
      <c r="AX37" s="265"/>
      <c r="AY37" s="267"/>
    </row>
    <row r="38" spans="1:51" s="268" customFormat="1" ht="15" customHeight="1" x14ac:dyDescent="0.25">
      <c r="A38" s="269"/>
      <c r="B38" s="270" t="s">
        <v>59</v>
      </c>
      <c r="C38" s="334" t="s">
        <v>53</v>
      </c>
      <c r="D38" s="271"/>
      <c r="E38" s="271"/>
      <c r="F38" s="272"/>
      <c r="G38" s="270"/>
      <c r="H38" s="273"/>
      <c r="I38" s="274"/>
      <c r="J38" s="275" t="s">
        <v>149</v>
      </c>
      <c r="K38" s="276"/>
      <c r="L38" s="277"/>
      <c r="M38" s="278"/>
      <c r="N38" s="278"/>
      <c r="O38" s="278"/>
      <c r="P38" s="278"/>
      <c r="Q38" s="278"/>
      <c r="R38" s="278"/>
      <c r="S38" s="278"/>
      <c r="T38" s="279"/>
      <c r="U38" s="279"/>
      <c r="V38" s="280"/>
      <c r="W38" s="281">
        <f t="shared" si="0"/>
        <v>480000</v>
      </c>
      <c r="X38" s="257"/>
      <c r="Y38" s="258"/>
      <c r="Z38" s="259"/>
      <c r="AA38" s="261"/>
      <c r="AB38" s="261"/>
      <c r="AC38" s="262"/>
      <c r="AD38" s="262"/>
      <c r="AE38" s="262"/>
      <c r="AF38" s="262"/>
      <c r="AG38" s="263"/>
      <c r="AH38" s="263"/>
      <c r="AI38" s="263"/>
      <c r="AJ38" s="264"/>
      <c r="AK38" s="265"/>
      <c r="AL38" s="266"/>
      <c r="AM38" s="259"/>
      <c r="AN38" s="261"/>
      <c r="AO38" s="261"/>
      <c r="AP38" s="262"/>
      <c r="AQ38" s="262"/>
      <c r="AR38" s="262"/>
      <c r="AS38" s="262"/>
      <c r="AT38" s="263"/>
      <c r="AU38" s="263"/>
      <c r="AV38" s="263"/>
      <c r="AW38" s="264"/>
      <c r="AX38" s="265"/>
      <c r="AY38" s="267"/>
    </row>
    <row r="39" spans="1:51" s="268" customFormat="1" ht="15" customHeight="1" x14ac:dyDescent="0.25">
      <c r="A39" s="269"/>
      <c r="B39" s="270" t="s">
        <v>59</v>
      </c>
      <c r="C39" s="334" t="s">
        <v>53</v>
      </c>
      <c r="D39" s="288" t="s">
        <v>65</v>
      </c>
      <c r="E39" s="271"/>
      <c r="F39" s="271"/>
      <c r="G39" s="270"/>
      <c r="H39" s="273"/>
      <c r="I39" s="282"/>
      <c r="J39" s="283" t="s">
        <v>150</v>
      </c>
      <c r="K39" s="284"/>
      <c r="L39" s="285"/>
      <c r="M39" s="286"/>
      <c r="N39" s="286"/>
      <c r="O39" s="286"/>
      <c r="P39" s="286"/>
      <c r="Q39" s="286"/>
      <c r="R39" s="286"/>
      <c r="S39" s="286"/>
      <c r="T39" s="279"/>
      <c r="U39" s="279"/>
      <c r="V39" s="280"/>
      <c r="W39" s="281">
        <f>W40</f>
        <v>480000</v>
      </c>
      <c r="X39" s="287"/>
      <c r="Y39" s="258"/>
      <c r="Z39" s="259"/>
      <c r="AA39" s="261"/>
      <c r="AB39" s="261"/>
      <c r="AC39" s="262"/>
      <c r="AD39" s="262"/>
      <c r="AE39" s="262"/>
      <c r="AF39" s="262"/>
      <c r="AG39" s="263"/>
      <c r="AH39" s="263"/>
      <c r="AI39" s="263"/>
      <c r="AJ39" s="264"/>
      <c r="AK39" s="265"/>
      <c r="AL39" s="266"/>
      <c r="AM39" s="259"/>
      <c r="AN39" s="261"/>
      <c r="AO39" s="261"/>
      <c r="AP39" s="262"/>
      <c r="AQ39" s="262"/>
      <c r="AR39" s="262"/>
      <c r="AS39" s="262"/>
      <c r="AT39" s="263"/>
      <c r="AU39" s="263"/>
      <c r="AV39" s="263"/>
      <c r="AW39" s="264"/>
      <c r="AX39" s="265"/>
      <c r="AY39" s="267"/>
    </row>
    <row r="40" spans="1:51" s="305" customFormat="1" ht="15" customHeight="1" x14ac:dyDescent="0.25">
      <c r="A40" s="269"/>
      <c r="B40" s="270" t="s">
        <v>59</v>
      </c>
      <c r="C40" s="270" t="s">
        <v>50</v>
      </c>
      <c r="D40" s="288" t="s">
        <v>67</v>
      </c>
      <c r="E40" s="288" t="s">
        <v>67</v>
      </c>
      <c r="F40" s="271"/>
      <c r="G40" s="270"/>
      <c r="H40" s="273"/>
      <c r="I40" s="289"/>
      <c r="J40" s="275"/>
      <c r="K40" s="290"/>
      <c r="L40" s="291"/>
      <c r="M40" s="292"/>
      <c r="N40" s="292"/>
      <c r="O40" s="292"/>
      <c r="P40" s="292"/>
      <c r="Q40" s="292"/>
      <c r="R40" s="292"/>
      <c r="S40" s="292"/>
      <c r="T40" s="293"/>
      <c r="U40" s="293"/>
      <c r="V40" s="294"/>
      <c r="W40" s="295">
        <f>W41</f>
        <v>480000</v>
      </c>
      <c r="X40" s="296"/>
      <c r="Y40" s="297"/>
      <c r="Z40" s="259"/>
      <c r="AA40" s="298"/>
      <c r="AB40" s="298"/>
      <c r="AC40" s="299"/>
      <c r="AD40" s="299"/>
      <c r="AE40" s="299"/>
      <c r="AF40" s="299"/>
      <c r="AG40" s="300"/>
      <c r="AH40" s="300"/>
      <c r="AI40" s="300"/>
      <c r="AJ40" s="301"/>
      <c r="AK40" s="302"/>
      <c r="AL40" s="303"/>
      <c r="AM40" s="259"/>
      <c r="AN40" s="298"/>
      <c r="AO40" s="298"/>
      <c r="AP40" s="299"/>
      <c r="AQ40" s="299"/>
      <c r="AR40" s="299"/>
      <c r="AS40" s="299"/>
      <c r="AT40" s="300"/>
      <c r="AU40" s="300"/>
      <c r="AV40" s="300"/>
      <c r="AW40" s="301"/>
      <c r="AX40" s="302"/>
      <c r="AY40" s="304"/>
    </row>
    <row r="41" spans="1:51" s="305" customFormat="1" ht="15" customHeight="1" x14ac:dyDescent="0.25">
      <c r="A41" s="269"/>
      <c r="B41" s="270"/>
      <c r="C41" s="270"/>
      <c r="D41" s="288"/>
      <c r="E41" s="288"/>
      <c r="F41" s="271"/>
      <c r="G41" s="270"/>
      <c r="H41" s="273"/>
      <c r="I41" s="289"/>
      <c r="J41" s="275"/>
      <c r="K41" s="290"/>
      <c r="L41" s="291"/>
      <c r="M41" s="292"/>
      <c r="N41" s="292"/>
      <c r="O41" s="292"/>
      <c r="P41" s="292"/>
      <c r="Q41" s="292"/>
      <c r="R41" s="292"/>
      <c r="S41" s="292"/>
      <c r="T41" s="293"/>
      <c r="U41" s="293"/>
      <c r="V41" s="294"/>
      <c r="W41" s="295">
        <f>W42</f>
        <v>480000</v>
      </c>
      <c r="X41" s="296"/>
      <c r="Y41" s="297"/>
      <c r="Z41" s="259"/>
      <c r="AA41" s="298"/>
      <c r="AB41" s="298"/>
      <c r="AC41" s="299"/>
      <c r="AD41" s="299"/>
      <c r="AE41" s="299"/>
      <c r="AF41" s="299"/>
      <c r="AG41" s="300"/>
      <c r="AH41" s="300"/>
      <c r="AI41" s="300"/>
      <c r="AJ41" s="301"/>
      <c r="AK41" s="302"/>
      <c r="AL41" s="303"/>
      <c r="AM41" s="259"/>
      <c r="AN41" s="298"/>
      <c r="AO41" s="298"/>
      <c r="AP41" s="299"/>
      <c r="AQ41" s="299"/>
      <c r="AR41" s="299"/>
      <c r="AS41" s="299"/>
      <c r="AT41" s="300"/>
      <c r="AU41" s="300"/>
      <c r="AV41" s="300"/>
      <c r="AW41" s="301"/>
      <c r="AX41" s="302"/>
      <c r="AY41" s="304"/>
    </row>
    <row r="42" spans="1:51" s="330" customFormat="1" ht="15" customHeight="1" x14ac:dyDescent="0.25">
      <c r="A42" s="306"/>
      <c r="B42" s="307"/>
      <c r="C42" s="307"/>
      <c r="D42" s="309"/>
      <c r="E42" s="309"/>
      <c r="F42" s="308"/>
      <c r="G42" s="310"/>
      <c r="H42" s="311"/>
      <c r="I42" s="312"/>
      <c r="J42" s="313" t="s">
        <v>849</v>
      </c>
      <c r="K42" s="314"/>
      <c r="L42" s="315"/>
      <c r="M42" s="316"/>
      <c r="N42" s="316"/>
      <c r="O42" s="316"/>
      <c r="P42" s="316"/>
      <c r="Q42" s="316"/>
      <c r="R42" s="316"/>
      <c r="S42" s="316"/>
      <c r="T42" s="317"/>
      <c r="U42" s="317">
        <v>1600</v>
      </c>
      <c r="V42" s="318">
        <v>300</v>
      </c>
      <c r="W42" s="319">
        <f>U42*V42</f>
        <v>480000</v>
      </c>
      <c r="X42" s="320" t="s">
        <v>649</v>
      </c>
      <c r="Y42" s="321"/>
      <c r="Z42" s="322"/>
      <c r="AA42" s="323"/>
      <c r="AB42" s="323"/>
      <c r="AC42" s="324"/>
      <c r="AD42" s="324"/>
      <c r="AE42" s="324"/>
      <c r="AF42" s="324"/>
      <c r="AG42" s="325"/>
      <c r="AH42" s="325"/>
      <c r="AI42" s="325"/>
      <c r="AJ42" s="326"/>
      <c r="AK42" s="327"/>
      <c r="AL42" s="328"/>
      <c r="AM42" s="322"/>
      <c r="AN42" s="323"/>
      <c r="AO42" s="323"/>
      <c r="AP42" s="324"/>
      <c r="AQ42" s="324"/>
      <c r="AR42" s="324"/>
      <c r="AS42" s="324"/>
      <c r="AT42" s="325"/>
      <c r="AU42" s="325"/>
      <c r="AV42" s="325"/>
      <c r="AW42" s="326"/>
      <c r="AX42" s="327"/>
      <c r="AY42" s="329"/>
    </row>
    <row r="43" spans="1:51" s="330" customFormat="1" ht="15" customHeight="1" x14ac:dyDescent="0.25">
      <c r="A43" s="306"/>
      <c r="B43" s="307"/>
      <c r="C43" s="307"/>
      <c r="D43" s="309"/>
      <c r="E43" s="309"/>
      <c r="F43" s="308"/>
      <c r="G43" s="310"/>
      <c r="H43" s="311"/>
      <c r="I43" s="312"/>
      <c r="J43" s="331"/>
      <c r="K43" s="314"/>
      <c r="L43" s="316"/>
      <c r="M43" s="316"/>
      <c r="N43" s="316"/>
      <c r="O43" s="316"/>
      <c r="P43" s="316"/>
      <c r="Q43" s="316"/>
      <c r="R43" s="316"/>
      <c r="S43" s="316"/>
      <c r="T43" s="317"/>
      <c r="U43" s="317"/>
      <c r="V43" s="318"/>
      <c r="W43" s="484"/>
      <c r="X43" s="320"/>
      <c r="Y43" s="321"/>
      <c r="Z43" s="321"/>
      <c r="AA43" s="321"/>
      <c r="AB43" s="321"/>
      <c r="AC43" s="324"/>
      <c r="AD43" s="324"/>
      <c r="AE43" s="324"/>
      <c r="AF43" s="324"/>
      <c r="AG43" s="325"/>
      <c r="AH43" s="325"/>
      <c r="AI43" s="325"/>
      <c r="AJ43" s="326"/>
      <c r="AK43" s="332">
        <f t="shared" ref="AK43:AK53" si="1">SUM(Y43:AJ43)</f>
        <v>0</v>
      </c>
      <c r="AL43" s="328"/>
      <c r="AM43" s="322"/>
      <c r="AN43" s="323"/>
      <c r="AO43" s="323"/>
      <c r="AP43" s="324"/>
      <c r="AQ43" s="324"/>
      <c r="AR43" s="324"/>
      <c r="AS43" s="324"/>
      <c r="AT43" s="325"/>
      <c r="AU43" s="325"/>
      <c r="AV43" s="325"/>
      <c r="AW43" s="326"/>
      <c r="AX43" s="332">
        <f t="shared" ref="AX43" si="2">SUM(AL43:AW43)</f>
        <v>0</v>
      </c>
      <c r="AY43" s="333">
        <f t="shared" ref="AY43" si="3">AK43-AX43</f>
        <v>0</v>
      </c>
    </row>
    <row r="44" spans="1:51" s="330" customFormat="1" ht="15" customHeight="1" x14ac:dyDescent="0.25">
      <c r="A44" s="306"/>
      <c r="B44" s="307"/>
      <c r="C44" s="307"/>
      <c r="D44" s="309"/>
      <c r="E44" s="309"/>
      <c r="F44" s="308"/>
      <c r="G44" s="310"/>
      <c r="H44" s="311"/>
      <c r="I44" s="312"/>
      <c r="J44" s="283"/>
      <c r="K44" s="314"/>
      <c r="L44" s="315"/>
      <c r="M44" s="316"/>
      <c r="N44" s="316"/>
      <c r="O44" s="316"/>
      <c r="P44" s="316"/>
      <c r="Q44" s="316"/>
      <c r="R44" s="316"/>
      <c r="S44" s="316"/>
      <c r="T44" s="317"/>
      <c r="U44" s="317"/>
      <c r="V44" s="318"/>
      <c r="W44" s="319"/>
      <c r="X44" s="320"/>
      <c r="Y44" s="321"/>
      <c r="Z44" s="322"/>
      <c r="AA44" s="323"/>
      <c r="AB44" s="323"/>
      <c r="AC44" s="324"/>
      <c r="AD44" s="324"/>
      <c r="AE44" s="324"/>
      <c r="AF44" s="324"/>
      <c r="AG44" s="325"/>
      <c r="AH44" s="325"/>
      <c r="AI44" s="325"/>
      <c r="AJ44" s="326"/>
      <c r="AK44" s="327"/>
      <c r="AL44" s="328"/>
      <c r="AM44" s="322"/>
      <c r="AN44" s="323"/>
      <c r="AO44" s="323"/>
      <c r="AP44" s="324"/>
      <c r="AQ44" s="324"/>
      <c r="AR44" s="324"/>
      <c r="AS44" s="324"/>
      <c r="AT44" s="325"/>
      <c r="AU44" s="325"/>
      <c r="AV44" s="325"/>
      <c r="AW44" s="326"/>
      <c r="AX44" s="327"/>
      <c r="AY44" s="329"/>
    </row>
    <row r="45" spans="1:51" s="330" customFormat="1" ht="15" customHeight="1" x14ac:dyDescent="0.25">
      <c r="A45" s="269"/>
      <c r="B45" s="270" t="s">
        <v>59</v>
      </c>
      <c r="C45" s="270" t="s">
        <v>53</v>
      </c>
      <c r="D45" s="288" t="s">
        <v>65</v>
      </c>
      <c r="E45" s="288" t="s">
        <v>65</v>
      </c>
      <c r="F45" s="271"/>
      <c r="G45" s="270"/>
      <c r="H45" s="273"/>
      <c r="I45" s="289"/>
      <c r="J45" s="283" t="s">
        <v>153</v>
      </c>
      <c r="K45" s="290"/>
      <c r="L45" s="291"/>
      <c r="M45" s="292"/>
      <c r="N45" s="292"/>
      <c r="O45" s="292"/>
      <c r="P45" s="292"/>
      <c r="Q45" s="292"/>
      <c r="R45" s="292"/>
      <c r="S45" s="292"/>
      <c r="T45" s="293"/>
      <c r="U45" s="293"/>
      <c r="V45" s="294"/>
      <c r="W45" s="295">
        <f>W46</f>
        <v>800000</v>
      </c>
      <c r="X45" s="296"/>
      <c r="Y45" s="321"/>
      <c r="Z45" s="322"/>
      <c r="AA45" s="323"/>
      <c r="AB45" s="323"/>
      <c r="AC45" s="324"/>
      <c r="AD45" s="324"/>
      <c r="AE45" s="324"/>
      <c r="AF45" s="324"/>
      <c r="AG45" s="325"/>
      <c r="AH45" s="325"/>
      <c r="AI45" s="325"/>
      <c r="AJ45" s="326"/>
      <c r="AK45" s="332">
        <f t="shared" si="1"/>
        <v>0</v>
      </c>
      <c r="AL45" s="328"/>
      <c r="AM45" s="322"/>
      <c r="AN45" s="323"/>
      <c r="AO45" s="323"/>
      <c r="AP45" s="324"/>
      <c r="AQ45" s="324"/>
      <c r="AR45" s="324"/>
      <c r="AS45" s="324"/>
      <c r="AT45" s="325"/>
      <c r="AU45" s="325"/>
      <c r="AV45" s="325"/>
      <c r="AW45" s="326"/>
      <c r="AX45" s="332">
        <f t="shared" ref="AX45:AX48" si="4">SUM(AL45:AW45)</f>
        <v>0</v>
      </c>
      <c r="AY45" s="333">
        <f t="shared" ref="AY45:AY48" si="5">AK45-AX45</f>
        <v>0</v>
      </c>
    </row>
    <row r="46" spans="1:51" s="330" customFormat="1" ht="15" customHeight="1" x14ac:dyDescent="0.25">
      <c r="A46" s="269"/>
      <c r="B46" s="270" t="s">
        <v>59</v>
      </c>
      <c r="C46" s="270" t="s">
        <v>53</v>
      </c>
      <c r="D46" s="288" t="s">
        <v>65</v>
      </c>
      <c r="E46" s="288" t="s">
        <v>65</v>
      </c>
      <c r="F46" s="271" t="s">
        <v>65</v>
      </c>
      <c r="G46" s="270"/>
      <c r="H46" s="273"/>
      <c r="I46" s="289"/>
      <c r="J46" s="283" t="s">
        <v>154</v>
      </c>
      <c r="K46" s="290"/>
      <c r="L46" s="291"/>
      <c r="M46" s="292"/>
      <c r="N46" s="292"/>
      <c r="O46" s="292"/>
      <c r="P46" s="292"/>
      <c r="Q46" s="292"/>
      <c r="R46" s="292"/>
      <c r="S46" s="292"/>
      <c r="T46" s="293"/>
      <c r="U46" s="293"/>
      <c r="V46" s="294"/>
      <c r="W46" s="295">
        <f>W47</f>
        <v>800000</v>
      </c>
      <c r="X46" s="296"/>
      <c r="Y46" s="321"/>
      <c r="Z46" s="322"/>
      <c r="AA46" s="323"/>
      <c r="AB46" s="323"/>
      <c r="AC46" s="324"/>
      <c r="AD46" s="324"/>
      <c r="AE46" s="324"/>
      <c r="AF46" s="324"/>
      <c r="AG46" s="325"/>
      <c r="AH46" s="325"/>
      <c r="AI46" s="325"/>
      <c r="AJ46" s="326"/>
      <c r="AK46" s="332">
        <f t="shared" si="1"/>
        <v>0</v>
      </c>
      <c r="AL46" s="328"/>
      <c r="AM46" s="322"/>
      <c r="AN46" s="323"/>
      <c r="AO46" s="323"/>
      <c r="AP46" s="324"/>
      <c r="AQ46" s="324"/>
      <c r="AR46" s="324"/>
      <c r="AS46" s="324"/>
      <c r="AT46" s="325"/>
      <c r="AU46" s="325"/>
      <c r="AV46" s="325"/>
      <c r="AW46" s="326"/>
      <c r="AX46" s="332">
        <f t="shared" si="4"/>
        <v>0</v>
      </c>
      <c r="AY46" s="333">
        <f t="shared" si="5"/>
        <v>0</v>
      </c>
    </row>
    <row r="47" spans="1:51" s="330" customFormat="1" ht="15" customHeight="1" x14ac:dyDescent="0.25">
      <c r="A47" s="306"/>
      <c r="B47" s="270" t="s">
        <v>59</v>
      </c>
      <c r="C47" s="270" t="s">
        <v>53</v>
      </c>
      <c r="D47" s="288" t="s">
        <v>65</v>
      </c>
      <c r="E47" s="288" t="s">
        <v>65</v>
      </c>
      <c r="F47" s="308" t="s">
        <v>65</v>
      </c>
      <c r="G47" s="310" t="s">
        <v>853</v>
      </c>
      <c r="H47" s="311"/>
      <c r="I47" s="312"/>
      <c r="J47" s="331" t="s">
        <v>651</v>
      </c>
      <c r="K47" s="314"/>
      <c r="L47" s="315"/>
      <c r="M47" s="316"/>
      <c r="N47" s="316"/>
      <c r="O47" s="316"/>
      <c r="P47" s="316"/>
      <c r="Q47" s="316"/>
      <c r="R47" s="316"/>
      <c r="S47" s="316"/>
      <c r="T47" s="317"/>
      <c r="U47" s="317"/>
      <c r="V47" s="318"/>
      <c r="W47" s="319">
        <f>SUM(W49:W51)</f>
        <v>800000</v>
      </c>
      <c r="X47" s="320"/>
      <c r="Y47" s="321"/>
      <c r="Z47" s="322"/>
      <c r="AA47" s="323"/>
      <c r="AB47" s="323"/>
      <c r="AC47" s="324"/>
      <c r="AD47" s="324"/>
      <c r="AE47" s="324"/>
      <c r="AF47" s="324"/>
      <c r="AG47" s="325"/>
      <c r="AH47" s="325"/>
      <c r="AI47" s="325"/>
      <c r="AJ47" s="326"/>
      <c r="AK47" s="332">
        <f t="shared" si="1"/>
        <v>0</v>
      </c>
      <c r="AL47" s="328"/>
      <c r="AM47" s="322"/>
      <c r="AN47" s="323"/>
      <c r="AO47" s="323"/>
      <c r="AP47" s="324"/>
      <c r="AQ47" s="324"/>
      <c r="AR47" s="324"/>
      <c r="AS47" s="324"/>
      <c r="AT47" s="325"/>
      <c r="AU47" s="325"/>
      <c r="AV47" s="325"/>
      <c r="AW47" s="326"/>
      <c r="AX47" s="332">
        <f t="shared" si="4"/>
        <v>0</v>
      </c>
      <c r="AY47" s="333">
        <f t="shared" si="5"/>
        <v>0</v>
      </c>
    </row>
    <row r="48" spans="1:51" s="330" customFormat="1" ht="15" customHeight="1" x14ac:dyDescent="0.25">
      <c r="A48" s="306"/>
      <c r="B48" s="307"/>
      <c r="C48" s="307"/>
      <c r="D48" s="308"/>
      <c r="E48" s="308"/>
      <c r="F48" s="308"/>
      <c r="G48" s="307"/>
      <c r="H48" s="311"/>
      <c r="I48" s="312"/>
      <c r="J48" s="283" t="s">
        <v>852</v>
      </c>
      <c r="K48" s="314"/>
      <c r="L48" s="315"/>
      <c r="M48" s="316"/>
      <c r="N48" s="316"/>
      <c r="O48" s="316"/>
      <c r="P48" s="316"/>
      <c r="Q48" s="316"/>
      <c r="R48" s="316"/>
      <c r="S48" s="316"/>
      <c r="T48" s="317"/>
      <c r="U48" s="317"/>
      <c r="V48" s="318"/>
      <c r="W48" s="319"/>
      <c r="X48" s="320"/>
      <c r="Y48" s="321"/>
      <c r="Z48" s="322"/>
      <c r="AA48" s="323"/>
      <c r="AB48" s="323"/>
      <c r="AC48" s="324"/>
      <c r="AD48" s="324"/>
      <c r="AE48" s="324"/>
      <c r="AF48" s="324"/>
      <c r="AG48" s="325"/>
      <c r="AH48" s="325"/>
      <c r="AI48" s="325"/>
      <c r="AJ48" s="326"/>
      <c r="AK48" s="332">
        <f t="shared" si="1"/>
        <v>0</v>
      </c>
      <c r="AL48" s="328"/>
      <c r="AM48" s="322"/>
      <c r="AN48" s="323"/>
      <c r="AO48" s="323"/>
      <c r="AP48" s="324"/>
      <c r="AQ48" s="324"/>
      <c r="AR48" s="324"/>
      <c r="AS48" s="324"/>
      <c r="AT48" s="325"/>
      <c r="AU48" s="325"/>
      <c r="AV48" s="325"/>
      <c r="AW48" s="326"/>
      <c r="AX48" s="332">
        <f t="shared" si="4"/>
        <v>0</v>
      </c>
      <c r="AY48" s="333">
        <f t="shared" si="5"/>
        <v>0</v>
      </c>
    </row>
    <row r="49" spans="1:51" s="330" customFormat="1" ht="15" customHeight="1" x14ac:dyDescent="0.25">
      <c r="A49" s="306"/>
      <c r="B49" s="307"/>
      <c r="C49" s="307"/>
      <c r="D49" s="308"/>
      <c r="E49" s="308"/>
      <c r="F49" s="308"/>
      <c r="G49" s="307"/>
      <c r="H49" s="311"/>
      <c r="I49" s="312"/>
      <c r="J49" s="331" t="s">
        <v>652</v>
      </c>
      <c r="K49" s="314"/>
      <c r="L49" s="315"/>
      <c r="M49" s="316"/>
      <c r="N49" s="316"/>
      <c r="O49" s="316">
        <v>1</v>
      </c>
      <c r="P49" s="316" t="s">
        <v>656</v>
      </c>
      <c r="Q49" s="316" t="s">
        <v>658</v>
      </c>
      <c r="R49" s="316">
        <v>2</v>
      </c>
      <c r="S49" s="316" t="s">
        <v>155</v>
      </c>
      <c r="T49" s="317">
        <f>R49*O49</f>
        <v>2</v>
      </c>
      <c r="U49" s="317" t="s">
        <v>657</v>
      </c>
      <c r="V49" s="318">
        <v>175000</v>
      </c>
      <c r="W49" s="484">
        <f>V49*T49</f>
        <v>350000</v>
      </c>
      <c r="X49" s="320" t="s">
        <v>649</v>
      </c>
      <c r="Y49" s="321"/>
      <c r="Z49" s="322"/>
      <c r="AA49" s="323"/>
      <c r="AB49" s="323"/>
      <c r="AC49" s="324"/>
      <c r="AD49" s="324"/>
      <c r="AE49" s="324"/>
      <c r="AF49" s="324"/>
      <c r="AG49" s="325"/>
      <c r="AH49" s="325"/>
      <c r="AI49" s="325"/>
      <c r="AJ49" s="326"/>
      <c r="AK49" s="332"/>
      <c r="AL49" s="328"/>
      <c r="AM49" s="322"/>
      <c r="AN49" s="323"/>
      <c r="AO49" s="323"/>
      <c r="AP49" s="324"/>
      <c r="AQ49" s="324"/>
      <c r="AR49" s="324"/>
      <c r="AS49" s="324"/>
      <c r="AT49" s="325"/>
      <c r="AU49" s="325"/>
      <c r="AV49" s="325"/>
      <c r="AW49" s="326"/>
      <c r="AX49" s="332"/>
      <c r="AY49" s="333"/>
    </row>
    <row r="50" spans="1:51" s="330" customFormat="1" ht="15" customHeight="1" x14ac:dyDescent="0.25">
      <c r="A50" s="306"/>
      <c r="B50" s="307"/>
      <c r="C50" s="307"/>
      <c r="D50" s="308"/>
      <c r="E50" s="308"/>
      <c r="F50" s="308"/>
      <c r="G50" s="307"/>
      <c r="H50" s="311"/>
      <c r="I50" s="312"/>
      <c r="J50" s="331" t="s">
        <v>654</v>
      </c>
      <c r="K50" s="314"/>
      <c r="L50" s="315"/>
      <c r="M50" s="316"/>
      <c r="N50" s="316"/>
      <c r="O50" s="316">
        <v>1</v>
      </c>
      <c r="P50" s="316" t="s">
        <v>656</v>
      </c>
      <c r="Q50" s="316" t="s">
        <v>658</v>
      </c>
      <c r="R50" s="316">
        <v>2</v>
      </c>
      <c r="S50" s="316" t="s">
        <v>155</v>
      </c>
      <c r="T50" s="317">
        <f t="shared" ref="T50:T51" si="6">R50*O50</f>
        <v>2</v>
      </c>
      <c r="U50" s="317" t="s">
        <v>657</v>
      </c>
      <c r="V50" s="318">
        <v>125000</v>
      </c>
      <c r="W50" s="484">
        <f>V50*T50</f>
        <v>250000</v>
      </c>
      <c r="X50" s="320" t="s">
        <v>649</v>
      </c>
      <c r="Y50" s="321"/>
      <c r="Z50" s="322"/>
      <c r="AA50" s="323"/>
      <c r="AB50" s="323"/>
      <c r="AC50" s="324"/>
      <c r="AD50" s="324"/>
      <c r="AE50" s="324"/>
      <c r="AF50" s="324"/>
      <c r="AG50" s="325"/>
      <c r="AH50" s="325"/>
      <c r="AI50" s="325"/>
      <c r="AJ50" s="326"/>
      <c r="AK50" s="332">
        <f t="shared" si="1"/>
        <v>0</v>
      </c>
      <c r="AL50" s="328"/>
      <c r="AM50" s="322"/>
      <c r="AN50" s="323"/>
      <c r="AO50" s="323"/>
      <c r="AP50" s="324"/>
      <c r="AQ50" s="324"/>
      <c r="AR50" s="324"/>
      <c r="AS50" s="324"/>
      <c r="AT50" s="325"/>
      <c r="AU50" s="325"/>
      <c r="AV50" s="325"/>
      <c r="AW50" s="326"/>
      <c r="AX50" s="332">
        <f t="shared" ref="AX50:AX52" si="7">SUM(AL50:AW50)</f>
        <v>0</v>
      </c>
      <c r="AY50" s="333">
        <f t="shared" ref="AY50:AY52" si="8">AK50-AX50</f>
        <v>0</v>
      </c>
    </row>
    <row r="51" spans="1:51" s="330" customFormat="1" ht="15" customHeight="1" x14ac:dyDescent="0.25">
      <c r="A51" s="306"/>
      <c r="B51" s="307"/>
      <c r="C51" s="307"/>
      <c r="D51" s="308"/>
      <c r="E51" s="308"/>
      <c r="F51" s="308"/>
      <c r="G51" s="307"/>
      <c r="H51" s="311"/>
      <c r="I51" s="312"/>
      <c r="J51" s="331" t="s">
        <v>655</v>
      </c>
      <c r="K51" s="314"/>
      <c r="L51" s="315"/>
      <c r="M51" s="316"/>
      <c r="N51" s="316"/>
      <c r="O51" s="316">
        <v>1</v>
      </c>
      <c r="P51" s="316" t="s">
        <v>656</v>
      </c>
      <c r="Q51" s="316" t="s">
        <v>658</v>
      </c>
      <c r="R51" s="316">
        <v>2</v>
      </c>
      <c r="S51" s="316" t="s">
        <v>155</v>
      </c>
      <c r="T51" s="317">
        <f t="shared" si="6"/>
        <v>2</v>
      </c>
      <c r="U51" s="317" t="s">
        <v>657</v>
      </c>
      <c r="V51" s="318">
        <v>100000</v>
      </c>
      <c r="W51" s="484">
        <f>V51*T51</f>
        <v>200000</v>
      </c>
      <c r="X51" s="320" t="s">
        <v>649</v>
      </c>
      <c r="Y51" s="321"/>
      <c r="Z51" s="322"/>
      <c r="AA51" s="323"/>
      <c r="AB51" s="323"/>
      <c r="AC51" s="324"/>
      <c r="AD51" s="324"/>
      <c r="AE51" s="324"/>
      <c r="AF51" s="324"/>
      <c r="AG51" s="325"/>
      <c r="AH51" s="325"/>
      <c r="AI51" s="325"/>
      <c r="AJ51" s="326"/>
      <c r="AK51" s="332">
        <f t="shared" si="1"/>
        <v>0</v>
      </c>
      <c r="AL51" s="328"/>
      <c r="AM51" s="322"/>
      <c r="AN51" s="323"/>
      <c r="AO51" s="323"/>
      <c r="AP51" s="324"/>
      <c r="AQ51" s="324"/>
      <c r="AR51" s="324"/>
      <c r="AS51" s="324"/>
      <c r="AT51" s="325"/>
      <c r="AU51" s="325"/>
      <c r="AV51" s="325"/>
      <c r="AW51" s="326"/>
      <c r="AX51" s="332">
        <f t="shared" si="7"/>
        <v>0</v>
      </c>
      <c r="AY51" s="333">
        <f t="shared" si="8"/>
        <v>0</v>
      </c>
    </row>
    <row r="52" spans="1:51" s="330" customFormat="1" ht="15" customHeight="1" x14ac:dyDescent="0.25">
      <c r="A52" s="306"/>
      <c r="B52" s="307"/>
      <c r="C52" s="307"/>
      <c r="D52" s="309"/>
      <c r="E52" s="309"/>
      <c r="F52" s="308"/>
      <c r="G52" s="310"/>
      <c r="H52" s="311"/>
      <c r="I52" s="312"/>
      <c r="J52" s="331"/>
      <c r="K52" s="314"/>
      <c r="L52" s="315"/>
      <c r="M52" s="316"/>
      <c r="N52" s="316"/>
      <c r="O52" s="316"/>
      <c r="P52" s="316"/>
      <c r="Q52" s="316"/>
      <c r="R52" s="316"/>
      <c r="S52" s="316"/>
      <c r="T52" s="317"/>
      <c r="U52" s="317"/>
      <c r="V52" s="318"/>
      <c r="W52" s="484"/>
      <c r="X52" s="320"/>
      <c r="Y52" s="321"/>
      <c r="Z52" s="322"/>
      <c r="AA52" s="323"/>
      <c r="AB52" s="323"/>
      <c r="AC52" s="324"/>
      <c r="AD52" s="324"/>
      <c r="AE52" s="324"/>
      <c r="AF52" s="324"/>
      <c r="AG52" s="325"/>
      <c r="AH52" s="325"/>
      <c r="AI52" s="325"/>
      <c r="AJ52" s="326"/>
      <c r="AK52" s="332">
        <f t="shared" si="1"/>
        <v>0</v>
      </c>
      <c r="AL52" s="328"/>
      <c r="AM52" s="322"/>
      <c r="AN52" s="323"/>
      <c r="AO52" s="323"/>
      <c r="AP52" s="324"/>
      <c r="AQ52" s="324"/>
      <c r="AR52" s="324"/>
      <c r="AS52" s="324"/>
      <c r="AT52" s="325"/>
      <c r="AU52" s="325"/>
      <c r="AV52" s="325"/>
      <c r="AW52" s="326"/>
      <c r="AX52" s="332">
        <f t="shared" si="7"/>
        <v>0</v>
      </c>
      <c r="AY52" s="333">
        <f t="shared" si="8"/>
        <v>0</v>
      </c>
    </row>
    <row r="53" spans="1:51" s="330" customFormat="1" ht="15" customHeight="1" x14ac:dyDescent="0.25">
      <c r="A53" s="306"/>
      <c r="B53" s="307"/>
      <c r="C53" s="307"/>
      <c r="D53" s="309"/>
      <c r="E53" s="309"/>
      <c r="F53" s="308"/>
      <c r="G53" s="310"/>
      <c r="H53" s="311"/>
      <c r="I53" s="312"/>
      <c r="J53" s="331"/>
      <c r="K53" s="314"/>
      <c r="L53" s="315"/>
      <c r="M53" s="316"/>
      <c r="N53" s="316"/>
      <c r="O53" s="316"/>
      <c r="P53" s="316"/>
      <c r="Q53" s="316"/>
      <c r="R53" s="316"/>
      <c r="S53" s="434"/>
      <c r="T53" s="317"/>
      <c r="U53" s="435"/>
      <c r="V53" s="318"/>
      <c r="W53" s="484"/>
      <c r="X53" s="320"/>
      <c r="Y53" s="321"/>
      <c r="Z53" s="322"/>
      <c r="AA53" s="323"/>
      <c r="AB53" s="323"/>
      <c r="AC53" s="324"/>
      <c r="AD53" s="324"/>
      <c r="AE53" s="324"/>
      <c r="AF53" s="324"/>
      <c r="AG53" s="325"/>
      <c r="AH53" s="325"/>
      <c r="AI53" s="325"/>
      <c r="AJ53" s="326"/>
      <c r="AK53" s="332">
        <f t="shared" si="1"/>
        <v>0</v>
      </c>
      <c r="AL53" s="328"/>
      <c r="AM53" s="322"/>
      <c r="AN53" s="323"/>
      <c r="AO53" s="323"/>
      <c r="AP53" s="324"/>
      <c r="AQ53" s="324"/>
      <c r="AR53" s="324"/>
      <c r="AS53" s="324"/>
      <c r="AT53" s="325"/>
      <c r="AU53" s="325"/>
      <c r="AV53" s="325"/>
      <c r="AW53" s="326"/>
      <c r="AX53" s="332"/>
      <c r="AY53" s="333"/>
    </row>
    <row r="54" spans="1:51" s="268" customFormat="1" ht="15" customHeight="1" thickBot="1" x14ac:dyDescent="0.3">
      <c r="A54" s="349"/>
      <c r="B54" s="350"/>
      <c r="C54" s="350"/>
      <c r="D54" s="351"/>
      <c r="E54" s="351"/>
      <c r="F54" s="351"/>
      <c r="G54" s="350"/>
      <c r="H54" s="352"/>
      <c r="I54" s="353"/>
      <c r="J54" s="354"/>
      <c r="K54" s="314"/>
      <c r="L54" s="331"/>
      <c r="M54" s="355"/>
      <c r="N54" s="355"/>
      <c r="O54" s="355"/>
      <c r="P54" s="355"/>
      <c r="Q54" s="355"/>
      <c r="R54" s="355"/>
      <c r="S54" s="355"/>
      <c r="T54" s="356"/>
      <c r="U54" s="317"/>
      <c r="V54" s="357"/>
      <c r="W54" s="358"/>
      <c r="X54" s="348"/>
      <c r="Y54" s="359"/>
      <c r="Z54" s="360"/>
      <c r="AA54" s="360"/>
      <c r="AB54" s="360"/>
      <c r="AC54" s="361"/>
      <c r="AD54" s="361"/>
      <c r="AE54" s="361"/>
      <c r="AF54" s="361"/>
      <c r="AG54" s="362"/>
      <c r="AH54" s="362"/>
      <c r="AI54" s="362"/>
      <c r="AJ54" s="363"/>
      <c r="AK54" s="265"/>
      <c r="AL54" s="364"/>
      <c r="AM54" s="360"/>
      <c r="AN54" s="360"/>
      <c r="AO54" s="360"/>
      <c r="AP54" s="361"/>
      <c r="AQ54" s="361"/>
      <c r="AR54" s="361"/>
      <c r="AS54" s="361"/>
      <c r="AT54" s="362"/>
      <c r="AU54" s="362"/>
      <c r="AV54" s="362"/>
      <c r="AW54" s="363"/>
      <c r="AX54" s="265"/>
      <c r="AY54" s="267"/>
    </row>
    <row r="55" spans="1:51" s="379" customFormat="1" ht="20.25" customHeight="1" thickBot="1" x14ac:dyDescent="0.3">
      <c r="A55" s="365" t="s">
        <v>157</v>
      </c>
      <c r="B55" s="366"/>
      <c r="C55" s="367"/>
      <c r="D55" s="367"/>
      <c r="E55" s="367"/>
      <c r="F55" s="367"/>
      <c r="G55" s="367"/>
      <c r="H55" s="367"/>
      <c r="I55" s="367"/>
      <c r="J55" s="367"/>
      <c r="K55" s="367"/>
      <c r="L55" s="367"/>
      <c r="M55" s="367"/>
      <c r="N55" s="367"/>
      <c r="O55" s="367"/>
      <c r="P55" s="367"/>
      <c r="Q55" s="367"/>
      <c r="R55" s="367"/>
      <c r="S55" s="367"/>
      <c r="T55" s="367"/>
      <c r="U55" s="367"/>
      <c r="V55" s="368"/>
      <c r="W55" s="369">
        <f>W37+W45</f>
        <v>1280000</v>
      </c>
      <c r="X55" s="370"/>
      <c r="Y55" s="371"/>
      <c r="Z55" s="372"/>
      <c r="AA55" s="372"/>
      <c r="AB55" s="372"/>
      <c r="AC55" s="373"/>
      <c r="AD55" s="373"/>
      <c r="AE55" s="373"/>
      <c r="AF55" s="373"/>
      <c r="AG55" s="374"/>
      <c r="AH55" s="374"/>
      <c r="AI55" s="374"/>
      <c r="AJ55" s="375"/>
      <c r="AK55" s="376">
        <f>SUM(AK36:AK54)</f>
        <v>0</v>
      </c>
      <c r="AL55" s="377"/>
      <c r="AM55" s="372"/>
      <c r="AN55" s="372"/>
      <c r="AO55" s="372"/>
      <c r="AP55" s="373"/>
      <c r="AQ55" s="373"/>
      <c r="AR55" s="373"/>
      <c r="AS55" s="373"/>
      <c r="AT55" s="374"/>
      <c r="AU55" s="374"/>
      <c r="AV55" s="374"/>
      <c r="AW55" s="375"/>
      <c r="AX55" s="376">
        <f>SUM(AX36:AX54)</f>
        <v>0</v>
      </c>
      <c r="AY55" s="378">
        <f>SUM(AY36:AY54)</f>
        <v>0</v>
      </c>
    </row>
    <row r="56" spans="1:51" s="268" customFormat="1" ht="15.75" x14ac:dyDescent="0.25">
      <c r="A56" s="219" t="s">
        <v>158</v>
      </c>
      <c r="B56" s="380"/>
      <c r="C56" s="380"/>
      <c r="D56" s="380"/>
      <c r="E56" s="380"/>
      <c r="F56" s="380"/>
      <c r="G56" s="380"/>
      <c r="H56" s="380"/>
      <c r="I56" s="380"/>
      <c r="J56" s="380"/>
      <c r="K56" s="381"/>
      <c r="L56" s="382"/>
      <c r="M56" s="380"/>
      <c r="N56" s="380"/>
      <c r="O56" s="380"/>
      <c r="P56" s="380"/>
      <c r="Q56" s="380"/>
      <c r="R56" s="380"/>
      <c r="S56" s="380"/>
      <c r="T56" s="383"/>
      <c r="U56" s="384"/>
      <c r="V56" s="384"/>
      <c r="W56" s="384"/>
      <c r="X56" s="385"/>
      <c r="Y56" s="386"/>
      <c r="Z56" s="387"/>
      <c r="AA56" s="387"/>
      <c r="AB56" s="387"/>
      <c r="AC56" s="387"/>
      <c r="AD56" s="387"/>
      <c r="AE56" s="387"/>
      <c r="AF56" s="387"/>
      <c r="AG56" s="387"/>
      <c r="AH56" s="387"/>
      <c r="AI56" s="387"/>
      <c r="AJ56" s="387"/>
    </row>
    <row r="57" spans="1:51" s="268" customFormat="1" ht="15.75" x14ac:dyDescent="0.25">
      <c r="A57" s="219" t="s">
        <v>159</v>
      </c>
      <c r="B57" s="220"/>
      <c r="C57" s="380"/>
      <c r="D57" s="660" t="s">
        <v>160</v>
      </c>
      <c r="E57" s="660"/>
      <c r="F57" s="660"/>
      <c r="G57" s="660"/>
      <c r="H57" s="660"/>
      <c r="I57" s="388"/>
      <c r="J57" s="388"/>
      <c r="K57" s="389"/>
      <c r="L57" s="390"/>
      <c r="M57" s="391"/>
      <c r="N57" s="391"/>
      <c r="O57" s="391"/>
      <c r="P57" s="391"/>
      <c r="Q57" s="391"/>
      <c r="R57" s="391"/>
      <c r="S57" s="391"/>
      <c r="T57" s="380"/>
      <c r="U57" s="388"/>
      <c r="V57" s="392" t="s">
        <v>841</v>
      </c>
      <c r="W57" s="393"/>
      <c r="X57" s="394"/>
      <c r="Y57" s="387"/>
      <c r="Z57" s="387"/>
      <c r="AA57" s="387" t="s">
        <v>161</v>
      </c>
      <c r="AB57" s="387"/>
      <c r="AC57" s="387"/>
      <c r="AD57" s="387"/>
      <c r="AE57" s="387"/>
      <c r="AF57" s="387"/>
      <c r="AG57" s="387"/>
      <c r="AH57" s="387"/>
      <c r="AI57" s="387"/>
      <c r="AJ57" s="387"/>
    </row>
    <row r="58" spans="1:51" s="268" customFormat="1" ht="12" customHeight="1" x14ac:dyDescent="0.25">
      <c r="A58" s="219" t="s">
        <v>162</v>
      </c>
      <c r="B58" s="220"/>
      <c r="C58" s="380"/>
      <c r="D58" s="660" t="s">
        <v>160</v>
      </c>
      <c r="E58" s="660"/>
      <c r="F58" s="660"/>
      <c r="G58" s="660"/>
      <c r="H58" s="660"/>
      <c r="I58" s="388"/>
      <c r="J58" s="388"/>
      <c r="K58" s="389"/>
      <c r="L58" s="390"/>
      <c r="M58" s="391"/>
      <c r="N58" s="391"/>
      <c r="O58" s="391"/>
      <c r="P58" s="391"/>
      <c r="Q58" s="391"/>
      <c r="R58" s="391"/>
      <c r="S58" s="391"/>
      <c r="T58" s="380"/>
      <c r="U58" s="384"/>
      <c r="V58" s="395" t="s">
        <v>26</v>
      </c>
      <c r="W58" s="393"/>
      <c r="X58" s="394"/>
      <c r="Y58" s="387"/>
      <c r="Z58" s="387"/>
      <c r="AA58" s="387"/>
      <c r="AB58" s="387"/>
      <c r="AC58" s="387"/>
      <c r="AD58" s="387"/>
      <c r="AE58" s="387"/>
      <c r="AF58" s="387"/>
      <c r="AG58" s="387"/>
      <c r="AH58" s="387"/>
      <c r="AI58" s="387"/>
      <c r="AJ58" s="387"/>
    </row>
    <row r="59" spans="1:51" s="268" customFormat="1" ht="15.75" x14ac:dyDescent="0.25">
      <c r="A59" s="219" t="s">
        <v>163</v>
      </c>
      <c r="B59" s="220"/>
      <c r="C59" s="380"/>
      <c r="D59" s="660" t="s">
        <v>160</v>
      </c>
      <c r="E59" s="660"/>
      <c r="F59" s="660"/>
      <c r="G59" s="660"/>
      <c r="H59" s="660"/>
      <c r="I59" s="388"/>
      <c r="J59" s="388"/>
      <c r="K59" s="389"/>
      <c r="L59" s="390"/>
      <c r="M59" s="391"/>
      <c r="N59" s="391"/>
      <c r="O59" s="391"/>
      <c r="P59" s="391"/>
      <c r="Q59" s="391"/>
      <c r="R59" s="391"/>
      <c r="S59" s="391"/>
      <c r="T59" s="380"/>
      <c r="U59" s="384"/>
      <c r="V59" s="395"/>
      <c r="W59" s="393"/>
      <c r="X59" s="394"/>
      <c r="Y59" s="387"/>
      <c r="Z59" s="387"/>
      <c r="AA59" s="387"/>
      <c r="AB59" s="387"/>
      <c r="AC59" s="387"/>
      <c r="AD59" s="387"/>
      <c r="AE59" s="387"/>
      <c r="AF59" s="387"/>
      <c r="AG59" s="387"/>
      <c r="AH59" s="387"/>
      <c r="AI59" s="387"/>
      <c r="AJ59" s="387"/>
    </row>
    <row r="60" spans="1:51" s="268" customFormat="1" ht="15.75" x14ac:dyDescent="0.25">
      <c r="A60" s="219"/>
      <c r="B60" s="220"/>
      <c r="C60" s="380"/>
      <c r="D60" s="659"/>
      <c r="E60" s="659"/>
      <c r="F60" s="659"/>
      <c r="G60" s="659"/>
      <c r="H60" s="659"/>
      <c r="I60" s="388"/>
      <c r="J60" s="388"/>
      <c r="K60" s="396"/>
      <c r="L60" s="390"/>
      <c r="M60" s="391"/>
      <c r="N60" s="391"/>
      <c r="O60" s="391"/>
      <c r="P60" s="391"/>
      <c r="Q60" s="391"/>
      <c r="R60" s="391"/>
      <c r="S60" s="391"/>
      <c r="T60" s="380"/>
      <c r="U60" s="393"/>
      <c r="V60" s="395"/>
      <c r="W60" s="393"/>
      <c r="X60" s="394"/>
      <c r="Y60" s="387"/>
      <c r="Z60" s="387"/>
      <c r="AA60" s="387"/>
      <c r="AB60" s="387"/>
      <c r="AC60" s="387"/>
      <c r="AD60" s="387"/>
      <c r="AE60" s="387"/>
      <c r="AF60" s="387"/>
      <c r="AG60" s="387"/>
      <c r="AH60" s="387"/>
      <c r="AI60" s="387"/>
      <c r="AJ60" s="387"/>
    </row>
    <row r="61" spans="1:51" s="268" customFormat="1" ht="15.75" x14ac:dyDescent="0.25">
      <c r="A61" s="219" t="s">
        <v>87</v>
      </c>
      <c r="B61" s="220"/>
      <c r="C61" s="380"/>
      <c r="D61" s="660" t="s">
        <v>160</v>
      </c>
      <c r="E61" s="660"/>
      <c r="F61" s="660"/>
      <c r="G61" s="660"/>
      <c r="H61" s="660"/>
      <c r="I61" s="388"/>
      <c r="J61" s="388"/>
      <c r="K61" s="396"/>
      <c r="L61" s="390"/>
      <c r="M61" s="391"/>
      <c r="N61" s="391"/>
      <c r="O61" s="391"/>
      <c r="P61" s="391"/>
      <c r="Q61" s="391"/>
      <c r="R61" s="391"/>
      <c r="S61" s="391"/>
      <c r="T61" s="380"/>
      <c r="U61" s="393"/>
      <c r="V61" s="397"/>
      <c r="W61" s="398"/>
      <c r="X61" s="394"/>
      <c r="Y61" s="387"/>
      <c r="Z61" s="387"/>
      <c r="AA61" s="387"/>
      <c r="AB61" s="387"/>
      <c r="AC61" s="387"/>
      <c r="AD61" s="387"/>
      <c r="AE61" s="387"/>
      <c r="AF61" s="387"/>
      <c r="AG61" s="387"/>
      <c r="AH61" s="387"/>
      <c r="AI61" s="387"/>
      <c r="AJ61" s="387"/>
    </row>
    <row r="62" spans="1:51" s="268" customFormat="1" ht="15.75" x14ac:dyDescent="0.25">
      <c r="A62" s="399"/>
      <c r="B62" s="380"/>
      <c r="C62" s="380"/>
      <c r="D62" s="380"/>
      <c r="E62" s="380"/>
      <c r="F62" s="380"/>
      <c r="G62" s="380"/>
      <c r="H62" s="380"/>
      <c r="I62" s="388"/>
      <c r="J62" s="388"/>
      <c r="K62" s="396"/>
      <c r="L62" s="390"/>
      <c r="M62" s="391"/>
      <c r="N62" s="391"/>
      <c r="O62" s="391"/>
      <c r="P62" s="391"/>
      <c r="Q62" s="391"/>
      <c r="R62" s="391"/>
      <c r="S62" s="391"/>
      <c r="T62" s="380"/>
      <c r="U62" s="223"/>
      <c r="V62" s="400" t="s">
        <v>28</v>
      </c>
      <c r="W62" s="401"/>
      <c r="X62" s="394"/>
      <c r="Y62" s="387"/>
      <c r="Z62" s="387"/>
      <c r="AA62" s="387"/>
      <c r="AB62" s="387"/>
      <c r="AC62" s="387"/>
      <c r="AD62" s="387"/>
      <c r="AE62" s="387"/>
      <c r="AF62" s="387"/>
      <c r="AG62" s="387"/>
      <c r="AH62" s="387"/>
      <c r="AI62" s="387"/>
      <c r="AJ62" s="387"/>
    </row>
    <row r="63" spans="1:51" s="268" customFormat="1" ht="15.75" x14ac:dyDescent="0.25">
      <c r="A63" s="399"/>
      <c r="B63" s="380"/>
      <c r="C63" s="380"/>
      <c r="D63" s="380"/>
      <c r="E63" s="380"/>
      <c r="F63" s="380"/>
      <c r="G63" s="380"/>
      <c r="H63" s="380"/>
      <c r="I63" s="393"/>
      <c r="J63" s="388"/>
      <c r="K63" s="389"/>
      <c r="L63" s="390"/>
      <c r="M63" s="391"/>
      <c r="N63" s="391"/>
      <c r="O63" s="391"/>
      <c r="P63" s="391"/>
      <c r="Q63" s="391"/>
      <c r="R63" s="391"/>
      <c r="S63" s="391"/>
      <c r="T63" s="380"/>
      <c r="U63" s="223"/>
      <c r="V63" s="402" t="s">
        <v>76</v>
      </c>
      <c r="W63" s="393"/>
      <c r="X63" s="394"/>
      <c r="Y63" s="387"/>
      <c r="Z63" s="387"/>
      <c r="AA63" s="387"/>
      <c r="AB63" s="387"/>
      <c r="AC63" s="387"/>
      <c r="AD63" s="387"/>
      <c r="AE63" s="387"/>
      <c r="AF63" s="387"/>
      <c r="AG63" s="387"/>
      <c r="AH63" s="387"/>
      <c r="AI63" s="387"/>
      <c r="AJ63" s="387"/>
    </row>
    <row r="64" spans="1:51" s="268" customFormat="1" ht="11.25" customHeight="1" thickBot="1" x14ac:dyDescent="0.3">
      <c r="A64" s="403"/>
      <c r="B64" s="404"/>
      <c r="C64" s="404"/>
      <c r="D64" s="404"/>
      <c r="E64" s="404"/>
      <c r="F64" s="404"/>
      <c r="G64" s="404"/>
      <c r="H64" s="404"/>
      <c r="I64" s="405"/>
      <c r="J64" s="405"/>
      <c r="K64" s="406"/>
      <c r="L64" s="407"/>
      <c r="M64" s="405"/>
      <c r="N64" s="405"/>
      <c r="O64" s="405"/>
      <c r="P64" s="405"/>
      <c r="Q64" s="405"/>
      <c r="R64" s="405"/>
      <c r="S64" s="405"/>
      <c r="T64" s="408"/>
      <c r="U64" s="409"/>
      <c r="V64" s="410"/>
      <c r="W64" s="410"/>
      <c r="X64" s="411"/>
      <c r="Y64" s="387"/>
      <c r="Z64" s="387"/>
      <c r="AA64" s="387"/>
      <c r="AB64" s="387"/>
      <c r="AC64" s="387"/>
      <c r="AD64" s="387"/>
      <c r="AE64" s="387"/>
      <c r="AF64" s="387"/>
      <c r="AG64" s="387"/>
      <c r="AH64" s="387"/>
      <c r="AI64" s="387"/>
      <c r="AJ64" s="387"/>
    </row>
    <row r="65" spans="1:36" s="199" customFormat="1" ht="15.75" x14ac:dyDescent="0.25">
      <c r="A65" s="412"/>
      <c r="B65" s="412"/>
      <c r="C65" s="412"/>
      <c r="D65" s="412"/>
      <c r="E65" s="412"/>
      <c r="F65" s="412"/>
      <c r="G65" s="412"/>
      <c r="H65" s="412"/>
      <c r="I65" s="413"/>
      <c r="J65" s="413"/>
      <c r="K65" s="413"/>
      <c r="L65" s="414"/>
      <c r="M65" s="412"/>
      <c r="N65" s="412"/>
      <c r="O65" s="412"/>
      <c r="P65" s="412"/>
      <c r="Q65" s="412"/>
      <c r="R65" s="412"/>
      <c r="S65" s="412"/>
      <c r="T65" s="412"/>
      <c r="U65" s="413"/>
      <c r="V65" s="413"/>
      <c r="W65" s="413"/>
      <c r="X65" s="413"/>
      <c r="Y65" s="198"/>
      <c r="Z65" s="198"/>
      <c r="AA65" s="198"/>
      <c r="AB65" s="198"/>
      <c r="AC65" s="198"/>
      <c r="AD65" s="198"/>
      <c r="AE65" s="198"/>
      <c r="AF65" s="198"/>
      <c r="AG65" s="198"/>
      <c r="AH65" s="198"/>
      <c r="AI65" s="198"/>
      <c r="AJ65" s="198"/>
    </row>
    <row r="66" spans="1:36" s="199" customFormat="1" ht="15.75" x14ac:dyDescent="0.25">
      <c r="A66" s="412"/>
      <c r="B66" s="412"/>
      <c r="C66" s="412"/>
      <c r="D66" s="412"/>
      <c r="E66" s="412"/>
      <c r="F66" s="412"/>
      <c r="G66" s="412"/>
      <c r="H66" s="412"/>
      <c r="I66" s="413"/>
      <c r="J66" s="413"/>
      <c r="K66" s="413"/>
      <c r="L66" s="414"/>
      <c r="M66" s="412"/>
      <c r="N66" s="412"/>
      <c r="O66" s="412"/>
      <c r="P66" s="412"/>
      <c r="Q66" s="412"/>
      <c r="R66" s="412"/>
      <c r="S66" s="412"/>
      <c r="T66" s="412"/>
      <c r="U66" s="413"/>
      <c r="V66" s="413"/>
      <c r="W66" s="413"/>
      <c r="X66" s="413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198"/>
      <c r="AJ66" s="198"/>
    </row>
    <row r="67" spans="1:36" s="199" customFormat="1" ht="15.75" x14ac:dyDescent="0.25">
      <c r="A67" s="412"/>
      <c r="B67" s="412"/>
      <c r="C67" s="412"/>
      <c r="D67" s="412"/>
      <c r="E67" s="412"/>
      <c r="F67" s="412"/>
      <c r="G67" s="412"/>
      <c r="H67" s="412"/>
      <c r="I67" s="413"/>
      <c r="J67" s="413"/>
      <c r="K67" s="413"/>
      <c r="L67" s="414"/>
      <c r="M67" s="412"/>
      <c r="N67" s="412"/>
      <c r="O67" s="412"/>
      <c r="P67" s="412"/>
      <c r="Q67" s="412"/>
      <c r="R67" s="412"/>
      <c r="S67" s="412"/>
      <c r="T67" s="412"/>
      <c r="U67" s="413"/>
      <c r="V67" s="413"/>
      <c r="W67" s="413"/>
      <c r="X67" s="413"/>
      <c r="Y67" s="198"/>
      <c r="Z67" s="198"/>
      <c r="AA67" s="198"/>
      <c r="AB67" s="198"/>
      <c r="AC67" s="198"/>
      <c r="AD67" s="198"/>
      <c r="AE67" s="198"/>
      <c r="AF67" s="198"/>
      <c r="AG67" s="198"/>
      <c r="AH67" s="198"/>
      <c r="AI67" s="198"/>
      <c r="AJ67" s="198"/>
    </row>
    <row r="68" spans="1:36" ht="15.75" x14ac:dyDescent="0.25">
      <c r="A68" s="412"/>
      <c r="B68" s="412"/>
      <c r="C68" s="412"/>
      <c r="D68" s="412"/>
      <c r="E68" s="412"/>
      <c r="F68" s="412"/>
      <c r="G68" s="412"/>
      <c r="H68" s="412"/>
      <c r="I68" s="413"/>
      <c r="J68" s="413"/>
      <c r="K68" s="413"/>
      <c r="L68" s="414"/>
      <c r="M68" s="412"/>
      <c r="N68" s="412"/>
      <c r="O68" s="412"/>
      <c r="P68" s="412"/>
      <c r="Q68" s="412"/>
      <c r="R68" s="412"/>
      <c r="S68" s="412"/>
      <c r="T68" s="412"/>
      <c r="U68" s="413"/>
      <c r="V68" s="413"/>
      <c r="W68" s="413"/>
      <c r="X68" s="413"/>
    </row>
  </sheetData>
  <mergeCells count="72">
    <mergeCell ref="D60:H60"/>
    <mergeCell ref="D61:H61"/>
    <mergeCell ref="A36:H36"/>
    <mergeCell ref="I36:K36"/>
    <mergeCell ref="L36:S36"/>
    <mergeCell ref="D57:H57"/>
    <mergeCell ref="D58:H58"/>
    <mergeCell ref="D59:H59"/>
    <mergeCell ref="AI34:AI35"/>
    <mergeCell ref="AW34:AW35"/>
    <mergeCell ref="AL34:AL35"/>
    <mergeCell ref="AM34:AM35"/>
    <mergeCell ref="AN34:AN35"/>
    <mergeCell ref="AO34:AO35"/>
    <mergeCell ref="AP34:AP35"/>
    <mergeCell ref="AQ34:AQ35"/>
    <mergeCell ref="AR34:AR35"/>
    <mergeCell ref="AS34:AS35"/>
    <mergeCell ref="AT34:AT35"/>
    <mergeCell ref="AU34:AU35"/>
    <mergeCell ref="AV34:AV35"/>
    <mergeCell ref="Y31:AJ33"/>
    <mergeCell ref="AK31:AK35"/>
    <mergeCell ref="AL31:AW33"/>
    <mergeCell ref="AX31:AX35"/>
    <mergeCell ref="AY31:AY35"/>
    <mergeCell ref="AJ34:AJ35"/>
    <mergeCell ref="Y34:Y35"/>
    <mergeCell ref="Z34:Z35"/>
    <mergeCell ref="AA34:AA35"/>
    <mergeCell ref="AB34:AB35"/>
    <mergeCell ref="AC34:AC35"/>
    <mergeCell ref="AD34:AD35"/>
    <mergeCell ref="AE34:AE35"/>
    <mergeCell ref="AF34:AF35"/>
    <mergeCell ref="AG34:AG35"/>
    <mergeCell ref="AH34:AH35"/>
    <mergeCell ref="A24:I24"/>
    <mergeCell ref="A28:I28"/>
    <mergeCell ref="A29:X29"/>
    <mergeCell ref="A30:X30"/>
    <mergeCell ref="A31:H35"/>
    <mergeCell ref="I31:K35"/>
    <mergeCell ref="L31:V32"/>
    <mergeCell ref="W31:W33"/>
    <mergeCell ref="X31:X35"/>
    <mergeCell ref="L33:S35"/>
    <mergeCell ref="T33:T35"/>
    <mergeCell ref="U33:U35"/>
    <mergeCell ref="V33:V35"/>
    <mergeCell ref="W34:W35"/>
    <mergeCell ref="V23:X23"/>
    <mergeCell ref="A14:I14"/>
    <mergeCell ref="J14:U14"/>
    <mergeCell ref="V14:X14"/>
    <mergeCell ref="A15:I15"/>
    <mergeCell ref="A16:I19"/>
    <mergeCell ref="V16:X16"/>
    <mergeCell ref="V17:X17"/>
    <mergeCell ref="V18:X18"/>
    <mergeCell ref="V19:X19"/>
    <mergeCell ref="A20:I20"/>
    <mergeCell ref="V20:X20"/>
    <mergeCell ref="V21:X21"/>
    <mergeCell ref="K22:U22"/>
    <mergeCell ref="V22:X22"/>
    <mergeCell ref="A13:X13"/>
    <mergeCell ref="V3:X3"/>
    <mergeCell ref="A5:X5"/>
    <mergeCell ref="A6:X6"/>
    <mergeCell ref="A7:I7"/>
    <mergeCell ref="A9:I9"/>
  </mergeCells>
  <pageMargins left="0.85" right="0" top="1" bottom="1.5" header="0.42" footer="0.31"/>
  <pageSetup paperSize="124" scale="34" fitToHeight="0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1CB0F-BFF3-4659-B92E-93418CFF808F}">
  <sheetPr>
    <pageSetUpPr fitToPage="1"/>
  </sheetPr>
  <dimension ref="A1:AY72"/>
  <sheetViews>
    <sheetView showGridLines="0" topLeftCell="E29" zoomScale="60" zoomScaleNormal="60" zoomScaleSheetLayoutView="70" zoomScalePageLayoutView="40" workbookViewId="0">
      <selection activeCell="W52" sqref="W52"/>
    </sheetView>
  </sheetViews>
  <sheetFormatPr defaultColWidth="9.140625" defaultRowHeight="12.75" x14ac:dyDescent="0.2"/>
  <cols>
    <col min="1" max="6" width="3.7109375" style="415" customWidth="1"/>
    <col min="7" max="7" width="5.85546875" style="415" bestFit="1" customWidth="1"/>
    <col min="8" max="8" width="3.7109375" style="415" customWidth="1"/>
    <col min="9" max="9" width="2" style="176" customWidth="1"/>
    <col min="10" max="10" width="3.140625" style="176" customWidth="1"/>
    <col min="11" max="11" width="37.140625" style="176" customWidth="1"/>
    <col min="12" max="12" width="4.140625" style="416" customWidth="1"/>
    <col min="13" max="15" width="4" style="415" customWidth="1"/>
    <col min="16" max="16" width="6.5703125" style="415" bestFit="1" customWidth="1"/>
    <col min="17" max="17" width="2" style="415" customWidth="1"/>
    <col min="18" max="18" width="7.42578125" style="415" customWidth="1"/>
    <col min="19" max="19" width="6.7109375" style="415" bestFit="1" customWidth="1"/>
    <col min="20" max="20" width="8.5703125" style="415" customWidth="1"/>
    <col min="21" max="21" width="9.28515625" style="176" customWidth="1"/>
    <col min="22" max="22" width="12.140625" style="176" customWidth="1"/>
    <col min="23" max="23" width="13.7109375" style="176" customWidth="1"/>
    <col min="24" max="24" width="9.5703125" style="176" customWidth="1"/>
    <col min="25" max="25" width="10.28515625" style="175" bestFit="1" customWidth="1"/>
    <col min="26" max="26" width="8" style="175" customWidth="1"/>
    <col min="27" max="27" width="10.42578125" style="175" customWidth="1"/>
    <col min="28" max="29" width="9.28515625" style="175" bestFit="1" customWidth="1"/>
    <col min="30" max="30" width="8" style="175" customWidth="1"/>
    <col min="31" max="31" width="9.28515625" style="175" bestFit="1" customWidth="1"/>
    <col min="32" max="34" width="8" style="175" customWidth="1"/>
    <col min="35" max="35" width="9.28515625" style="175" bestFit="1" customWidth="1"/>
    <col min="36" max="36" width="8" style="175" customWidth="1"/>
    <col min="37" max="37" width="10.28515625" style="176" bestFit="1" customWidth="1"/>
    <col min="38" max="50" width="9.140625" style="176"/>
    <col min="51" max="51" width="10.28515625" style="176" bestFit="1" customWidth="1"/>
    <col min="52" max="16384" width="9.140625" style="176"/>
  </cols>
  <sheetData>
    <row r="1" spans="1:36" ht="14.25" customHeight="1" x14ac:dyDescent="0.2">
      <c r="A1" s="169"/>
      <c r="B1" s="170"/>
      <c r="C1" s="170"/>
      <c r="D1" s="170"/>
      <c r="E1" s="170"/>
      <c r="F1" s="170"/>
      <c r="G1" s="170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2"/>
      <c r="U1" s="171"/>
      <c r="V1" s="173"/>
      <c r="W1" s="171"/>
      <c r="X1" s="174"/>
    </row>
    <row r="2" spans="1:36" ht="18.75" customHeight="1" x14ac:dyDescent="0.4">
      <c r="A2" s="177"/>
      <c r="B2" s="178"/>
      <c r="C2" s="178"/>
      <c r="D2" s="178"/>
      <c r="E2" s="178"/>
      <c r="F2" s="178"/>
      <c r="G2" s="178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80"/>
      <c r="U2" s="179"/>
      <c r="V2" s="181"/>
      <c r="W2" s="179"/>
      <c r="X2" s="182"/>
    </row>
    <row r="3" spans="1:36" ht="24.75" customHeight="1" x14ac:dyDescent="0.2">
      <c r="A3" s="183"/>
      <c r="B3" s="184"/>
      <c r="C3" s="184"/>
      <c r="D3" s="184"/>
      <c r="E3" s="184"/>
      <c r="F3" s="184"/>
      <c r="G3" s="184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6"/>
      <c r="U3" s="185"/>
      <c r="V3" s="562" t="s">
        <v>21</v>
      </c>
      <c r="W3" s="563"/>
      <c r="X3" s="564"/>
    </row>
    <row r="4" spans="1:36" ht="32.25" customHeight="1" thickBot="1" x14ac:dyDescent="0.25">
      <c r="A4" s="187"/>
      <c r="B4" s="188"/>
      <c r="C4" s="188"/>
      <c r="D4" s="188"/>
      <c r="E4" s="188"/>
      <c r="F4" s="188"/>
      <c r="G4" s="188"/>
      <c r="H4" s="189"/>
      <c r="I4" s="189"/>
      <c r="J4" s="189"/>
      <c r="K4" s="190"/>
      <c r="L4" s="189"/>
      <c r="M4" s="189"/>
      <c r="N4" s="189"/>
      <c r="O4" s="189"/>
      <c r="P4" s="189"/>
      <c r="Q4" s="189"/>
      <c r="R4" s="189"/>
      <c r="S4" s="189"/>
      <c r="T4" s="190"/>
      <c r="U4" s="189"/>
      <c r="V4" s="191"/>
      <c r="W4" s="192">
        <v>1</v>
      </c>
      <c r="X4" s="193"/>
    </row>
    <row r="5" spans="1:36" ht="21" customHeight="1" x14ac:dyDescent="0.2">
      <c r="A5" s="565" t="s">
        <v>1</v>
      </c>
      <c r="B5" s="566"/>
      <c r="C5" s="566"/>
      <c r="D5" s="566"/>
      <c r="E5" s="566"/>
      <c r="F5" s="566"/>
      <c r="G5" s="566"/>
      <c r="H5" s="566"/>
      <c r="I5" s="566"/>
      <c r="J5" s="566"/>
      <c r="K5" s="566"/>
      <c r="L5" s="566"/>
      <c r="M5" s="566"/>
      <c r="N5" s="566"/>
      <c r="O5" s="566"/>
      <c r="P5" s="566"/>
      <c r="Q5" s="566"/>
      <c r="R5" s="566"/>
      <c r="S5" s="566"/>
      <c r="T5" s="566"/>
      <c r="U5" s="566"/>
      <c r="V5" s="566"/>
      <c r="W5" s="566"/>
      <c r="X5" s="567"/>
    </row>
    <row r="6" spans="1:36" ht="21" customHeight="1" x14ac:dyDescent="0.2">
      <c r="A6" s="568" t="s">
        <v>836</v>
      </c>
      <c r="B6" s="569"/>
      <c r="C6" s="569"/>
      <c r="D6" s="569"/>
      <c r="E6" s="569"/>
      <c r="F6" s="569"/>
      <c r="G6" s="569"/>
      <c r="H6" s="569"/>
      <c r="I6" s="569"/>
      <c r="J6" s="569"/>
      <c r="K6" s="569"/>
      <c r="L6" s="569"/>
      <c r="M6" s="569"/>
      <c r="N6" s="569"/>
      <c r="O6" s="569"/>
      <c r="P6" s="569"/>
      <c r="Q6" s="569"/>
      <c r="R6" s="569"/>
      <c r="S6" s="569"/>
      <c r="T6" s="569"/>
      <c r="U6" s="569"/>
      <c r="V6" s="569"/>
      <c r="W6" s="569"/>
      <c r="X6" s="570"/>
    </row>
    <row r="7" spans="1:36" s="199" customFormat="1" ht="15" customHeight="1" x14ac:dyDescent="0.25">
      <c r="A7" s="571" t="s">
        <v>45</v>
      </c>
      <c r="B7" s="572"/>
      <c r="C7" s="572"/>
      <c r="D7" s="572"/>
      <c r="E7" s="572"/>
      <c r="F7" s="572"/>
      <c r="G7" s="572"/>
      <c r="H7" s="572"/>
      <c r="I7" s="572"/>
      <c r="J7" s="195" t="s">
        <v>113</v>
      </c>
      <c r="K7" s="196" t="s">
        <v>114</v>
      </c>
      <c r="L7" s="196"/>
      <c r="M7" s="196"/>
      <c r="N7" s="196"/>
      <c r="O7" s="196"/>
      <c r="P7" s="196"/>
      <c r="Q7" s="196"/>
      <c r="R7" s="196"/>
      <c r="S7" s="196"/>
      <c r="T7" s="196"/>
      <c r="U7" s="196"/>
      <c r="V7" s="196"/>
      <c r="W7" s="196"/>
      <c r="X7" s="197"/>
      <c r="Y7" s="198"/>
      <c r="Z7" s="198"/>
      <c r="AA7" s="198"/>
      <c r="AB7" s="198"/>
      <c r="AC7" s="198"/>
      <c r="AD7" s="198"/>
      <c r="AE7" s="198"/>
      <c r="AF7" s="198"/>
      <c r="AG7" s="198"/>
      <c r="AH7" s="198"/>
      <c r="AI7" s="198"/>
      <c r="AJ7" s="198"/>
    </row>
    <row r="8" spans="1:36" s="199" customFormat="1" ht="15" customHeight="1" x14ac:dyDescent="0.25">
      <c r="A8" s="194" t="s">
        <v>115</v>
      </c>
      <c r="B8" s="195"/>
      <c r="C8" s="195"/>
      <c r="D8" s="195"/>
      <c r="E8" s="195"/>
      <c r="F8" s="195"/>
      <c r="G8" s="195"/>
      <c r="H8" s="195"/>
      <c r="I8" s="195"/>
      <c r="J8" s="195" t="s">
        <v>113</v>
      </c>
      <c r="K8" s="200" t="s">
        <v>642</v>
      </c>
      <c r="L8" s="200"/>
      <c r="T8" s="200"/>
      <c r="U8" s="200"/>
      <c r="V8" s="200"/>
      <c r="W8" s="200"/>
      <c r="X8" s="201"/>
      <c r="Y8" s="198"/>
      <c r="Z8" s="198"/>
      <c r="AA8" s="198"/>
      <c r="AB8" s="198"/>
      <c r="AC8" s="198"/>
      <c r="AD8" s="198"/>
      <c r="AE8" s="198"/>
      <c r="AF8" s="198"/>
      <c r="AG8" s="198"/>
      <c r="AH8" s="198"/>
      <c r="AI8" s="198"/>
      <c r="AJ8" s="198"/>
    </row>
    <row r="9" spans="1:36" s="199" customFormat="1" ht="15" customHeight="1" x14ac:dyDescent="0.25">
      <c r="A9" s="573" t="s">
        <v>116</v>
      </c>
      <c r="B9" s="574"/>
      <c r="C9" s="574"/>
      <c r="D9" s="574"/>
      <c r="E9" s="574"/>
      <c r="F9" s="574"/>
      <c r="G9" s="574"/>
      <c r="H9" s="574"/>
      <c r="I9" s="574"/>
      <c r="J9" s="203" t="s">
        <v>113</v>
      </c>
      <c r="K9" s="204" t="s">
        <v>643</v>
      </c>
      <c r="L9" s="196"/>
      <c r="M9" s="204"/>
      <c r="N9" s="204"/>
      <c r="O9" s="204"/>
      <c r="P9" s="204"/>
      <c r="Q9" s="204"/>
      <c r="R9" s="204"/>
      <c r="S9" s="204"/>
      <c r="T9" s="196"/>
      <c r="U9" s="196"/>
      <c r="V9" s="196"/>
      <c r="W9" s="196"/>
      <c r="X9" s="197"/>
      <c r="Y9" s="198"/>
      <c r="Z9" s="198"/>
      <c r="AA9" s="198"/>
      <c r="AB9" s="198"/>
      <c r="AC9" s="198"/>
      <c r="AD9" s="198"/>
      <c r="AE9" s="198"/>
      <c r="AF9" s="198"/>
      <c r="AG9" s="198"/>
      <c r="AH9" s="198"/>
      <c r="AI9" s="198"/>
      <c r="AJ9" s="198"/>
    </row>
    <row r="10" spans="1:36" s="199" customFormat="1" ht="14.25" customHeight="1" x14ac:dyDescent="0.25">
      <c r="A10" s="202" t="s">
        <v>117</v>
      </c>
      <c r="B10" s="203"/>
      <c r="C10" s="205"/>
      <c r="D10" s="205"/>
      <c r="E10" s="205"/>
      <c r="F10" s="205"/>
      <c r="G10" s="205"/>
      <c r="H10" s="205"/>
      <c r="I10" s="203"/>
      <c r="J10" s="195" t="s">
        <v>113</v>
      </c>
      <c r="K10" s="206" t="s">
        <v>659</v>
      </c>
      <c r="L10" s="196"/>
      <c r="M10" s="196"/>
      <c r="N10" s="196"/>
      <c r="O10" s="196"/>
      <c r="P10" s="196"/>
      <c r="Q10" s="196"/>
      <c r="R10" s="196"/>
      <c r="S10" s="196"/>
      <c r="T10" s="207"/>
      <c r="U10" s="196"/>
      <c r="V10" s="196"/>
      <c r="W10" s="196"/>
      <c r="X10" s="197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</row>
    <row r="11" spans="1:36" s="199" customFormat="1" ht="14.25" customHeight="1" x14ac:dyDescent="0.25">
      <c r="A11" s="208" t="s">
        <v>118</v>
      </c>
      <c r="B11" s="209"/>
      <c r="C11" s="210"/>
      <c r="D11" s="210"/>
      <c r="E11" s="210"/>
      <c r="F11" s="210"/>
      <c r="G11" s="210"/>
      <c r="H11" s="210"/>
      <c r="I11" s="209"/>
      <c r="J11" s="195" t="s">
        <v>119</v>
      </c>
      <c r="K11" s="206" t="s">
        <v>114</v>
      </c>
      <c r="L11" s="211"/>
      <c r="M11" s="211"/>
      <c r="N11" s="211"/>
      <c r="O11" s="211"/>
      <c r="P11" s="211"/>
      <c r="Q11" s="211"/>
      <c r="R11" s="211"/>
      <c r="S11" s="211"/>
      <c r="T11" s="212"/>
      <c r="U11" s="211"/>
      <c r="V11" s="211"/>
      <c r="W11" s="211"/>
      <c r="X11" s="213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</row>
    <row r="12" spans="1:36" s="199" customFormat="1" ht="15.75" x14ac:dyDescent="0.25">
      <c r="A12" s="208" t="s">
        <v>120</v>
      </c>
      <c r="B12" s="209"/>
      <c r="C12" s="210"/>
      <c r="D12" s="210"/>
      <c r="E12" s="210"/>
      <c r="F12" s="210"/>
      <c r="G12" s="210"/>
      <c r="H12" s="210"/>
      <c r="I12" s="209"/>
      <c r="J12" s="195" t="s">
        <v>113</v>
      </c>
      <c r="K12" s="214" t="s">
        <v>660</v>
      </c>
      <c r="L12" s="211"/>
      <c r="M12" s="211"/>
      <c r="N12" s="211"/>
      <c r="O12" s="211"/>
      <c r="P12" s="211"/>
      <c r="Q12" s="211"/>
      <c r="R12" s="211"/>
      <c r="S12" s="211"/>
      <c r="T12" s="212"/>
      <c r="U12" s="211"/>
      <c r="V12" s="211"/>
      <c r="W12" s="211"/>
      <c r="X12" s="213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</row>
    <row r="13" spans="1:36" s="199" customFormat="1" ht="18" customHeight="1" x14ac:dyDescent="0.25">
      <c r="A13" s="559" t="s">
        <v>121</v>
      </c>
      <c r="B13" s="560"/>
      <c r="C13" s="560"/>
      <c r="D13" s="560"/>
      <c r="E13" s="560"/>
      <c r="F13" s="560"/>
      <c r="G13" s="560"/>
      <c r="H13" s="560"/>
      <c r="I13" s="560"/>
      <c r="J13" s="560"/>
      <c r="K13" s="560"/>
      <c r="L13" s="560"/>
      <c r="M13" s="560"/>
      <c r="N13" s="560"/>
      <c r="O13" s="560"/>
      <c r="P13" s="560"/>
      <c r="Q13" s="560"/>
      <c r="R13" s="560"/>
      <c r="S13" s="560"/>
      <c r="T13" s="560"/>
      <c r="U13" s="560"/>
      <c r="V13" s="560"/>
      <c r="W13" s="560"/>
      <c r="X13" s="561"/>
    </row>
    <row r="14" spans="1:36" s="199" customFormat="1" ht="15.75" x14ac:dyDescent="0.25">
      <c r="A14" s="578" t="s">
        <v>122</v>
      </c>
      <c r="B14" s="579"/>
      <c r="C14" s="579"/>
      <c r="D14" s="579"/>
      <c r="E14" s="579"/>
      <c r="F14" s="579"/>
      <c r="G14" s="579"/>
      <c r="H14" s="579"/>
      <c r="I14" s="580"/>
      <c r="J14" s="581" t="s">
        <v>123</v>
      </c>
      <c r="K14" s="579"/>
      <c r="L14" s="579"/>
      <c r="M14" s="579"/>
      <c r="N14" s="579"/>
      <c r="O14" s="579"/>
      <c r="P14" s="579"/>
      <c r="Q14" s="579"/>
      <c r="R14" s="579"/>
      <c r="S14" s="579"/>
      <c r="T14" s="579"/>
      <c r="U14" s="579"/>
      <c r="V14" s="581" t="s">
        <v>124</v>
      </c>
      <c r="W14" s="579"/>
      <c r="X14" s="582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</row>
    <row r="15" spans="1:36" s="199" customFormat="1" ht="17.25" customHeight="1" x14ac:dyDescent="0.25">
      <c r="A15" s="573" t="s">
        <v>125</v>
      </c>
      <c r="B15" s="574"/>
      <c r="C15" s="574"/>
      <c r="D15" s="574"/>
      <c r="E15" s="574"/>
      <c r="F15" s="574"/>
      <c r="G15" s="574"/>
      <c r="H15" s="574"/>
      <c r="I15" s="583"/>
      <c r="J15" s="203" t="s">
        <v>119</v>
      </c>
      <c r="K15" s="200"/>
      <c r="L15" s="196"/>
      <c r="M15" s="196"/>
      <c r="N15" s="196"/>
      <c r="O15" s="196"/>
      <c r="P15" s="196"/>
      <c r="Q15" s="196"/>
      <c r="R15" s="196"/>
      <c r="S15" s="196"/>
      <c r="T15" s="207"/>
      <c r="U15" s="196"/>
      <c r="V15" s="215"/>
      <c r="W15" s="196"/>
      <c r="X15" s="197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</row>
    <row r="16" spans="1:36" s="199" customFormat="1" ht="15.75" customHeight="1" x14ac:dyDescent="0.25">
      <c r="A16" s="571" t="s">
        <v>126</v>
      </c>
      <c r="B16" s="572"/>
      <c r="C16" s="572"/>
      <c r="D16" s="572"/>
      <c r="E16" s="572"/>
      <c r="F16" s="572"/>
      <c r="G16" s="572"/>
      <c r="H16" s="572"/>
      <c r="I16" s="584"/>
      <c r="J16" s="216" t="s">
        <v>119</v>
      </c>
      <c r="K16" s="217" t="s">
        <v>127</v>
      </c>
      <c r="L16" s="217"/>
      <c r="M16" s="217"/>
      <c r="N16" s="217"/>
      <c r="O16" s="217"/>
      <c r="P16" s="217"/>
      <c r="Q16" s="217"/>
      <c r="R16" s="217"/>
      <c r="S16" s="217"/>
      <c r="T16" s="218"/>
      <c r="U16" s="217"/>
      <c r="V16" s="591"/>
      <c r="W16" s="592"/>
      <c r="X16" s="593"/>
      <c r="Y16" s="198"/>
      <c r="Z16" s="198"/>
      <c r="AA16" s="198"/>
      <c r="AB16" s="198"/>
      <c r="AC16" s="198"/>
      <c r="AD16" s="198"/>
      <c r="AE16" s="198"/>
      <c r="AF16" s="198"/>
      <c r="AG16" s="198"/>
      <c r="AH16" s="198"/>
      <c r="AI16" s="198"/>
      <c r="AJ16" s="198"/>
    </row>
    <row r="17" spans="1:51" s="199" customFormat="1" ht="15.75" customHeight="1" x14ac:dyDescent="0.25">
      <c r="A17" s="585"/>
      <c r="B17" s="586"/>
      <c r="C17" s="586"/>
      <c r="D17" s="586"/>
      <c r="E17" s="586"/>
      <c r="F17" s="586"/>
      <c r="G17" s="586"/>
      <c r="H17" s="586"/>
      <c r="I17" s="587"/>
      <c r="J17" s="222" t="s">
        <v>119</v>
      </c>
      <c r="K17" s="223" t="s">
        <v>128</v>
      </c>
      <c r="L17" s="223"/>
      <c r="M17" s="223"/>
      <c r="N17" s="223"/>
      <c r="O17" s="223"/>
      <c r="P17" s="223"/>
      <c r="Q17" s="223"/>
      <c r="R17" s="223"/>
      <c r="S17" s="223"/>
      <c r="T17" s="224"/>
      <c r="U17" s="223"/>
      <c r="V17" s="594"/>
      <c r="W17" s="595"/>
      <c r="X17" s="596"/>
      <c r="Y17" s="198"/>
      <c r="Z17" s="198"/>
      <c r="AA17" s="198"/>
      <c r="AB17" s="198"/>
      <c r="AC17" s="198"/>
      <c r="AD17" s="198"/>
      <c r="AE17" s="198"/>
      <c r="AF17" s="198"/>
      <c r="AG17" s="198"/>
      <c r="AH17" s="198"/>
      <c r="AI17" s="198"/>
      <c r="AJ17" s="198"/>
    </row>
    <row r="18" spans="1:51" s="199" customFormat="1" ht="13.5" customHeight="1" x14ac:dyDescent="0.25">
      <c r="A18" s="585"/>
      <c r="B18" s="586"/>
      <c r="C18" s="586"/>
      <c r="D18" s="586"/>
      <c r="E18" s="586"/>
      <c r="F18" s="586"/>
      <c r="G18" s="586"/>
      <c r="H18" s="586"/>
      <c r="I18" s="587"/>
      <c r="J18" s="222" t="s">
        <v>119</v>
      </c>
      <c r="K18" s="223" t="s">
        <v>129</v>
      </c>
      <c r="L18" s="223"/>
      <c r="M18" s="223"/>
      <c r="N18" s="223"/>
      <c r="O18" s="223"/>
      <c r="P18" s="223"/>
      <c r="Q18" s="223"/>
      <c r="R18" s="223"/>
      <c r="S18" s="223"/>
      <c r="T18" s="224"/>
      <c r="U18" s="223"/>
      <c r="V18" s="594"/>
      <c r="W18" s="595"/>
      <c r="X18" s="596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</row>
    <row r="19" spans="1:51" s="199" customFormat="1" ht="15.75" customHeight="1" x14ac:dyDescent="0.25">
      <c r="A19" s="588"/>
      <c r="B19" s="589"/>
      <c r="C19" s="589"/>
      <c r="D19" s="589"/>
      <c r="E19" s="589"/>
      <c r="F19" s="589"/>
      <c r="G19" s="589"/>
      <c r="H19" s="589"/>
      <c r="I19" s="590"/>
      <c r="J19" s="226" t="s">
        <v>119</v>
      </c>
      <c r="K19" s="211" t="s">
        <v>130</v>
      </c>
      <c r="L19" s="211"/>
      <c r="M19" s="211"/>
      <c r="N19" s="211"/>
      <c r="O19" s="211"/>
      <c r="P19" s="211"/>
      <c r="Q19" s="211"/>
      <c r="R19" s="211"/>
      <c r="S19" s="211"/>
      <c r="T19" s="212"/>
      <c r="U19" s="211"/>
      <c r="V19" s="597"/>
      <c r="W19" s="598"/>
      <c r="X19" s="599"/>
      <c r="Y19" s="198"/>
      <c r="Z19" s="198"/>
      <c r="AA19" s="198"/>
      <c r="AB19" s="198"/>
      <c r="AC19" s="198"/>
      <c r="AD19" s="198"/>
      <c r="AE19" s="198"/>
      <c r="AF19" s="198"/>
      <c r="AG19" s="198"/>
      <c r="AH19" s="198"/>
      <c r="AI19" s="198"/>
      <c r="AJ19" s="198"/>
    </row>
    <row r="20" spans="1:51" s="199" customFormat="1" ht="15.75" customHeight="1" x14ac:dyDescent="0.25">
      <c r="A20" s="585" t="s">
        <v>131</v>
      </c>
      <c r="B20" s="586"/>
      <c r="C20" s="586"/>
      <c r="D20" s="586"/>
      <c r="E20" s="586"/>
      <c r="F20" s="586"/>
      <c r="G20" s="586"/>
      <c r="H20" s="586"/>
      <c r="I20" s="587"/>
      <c r="J20" s="220" t="s">
        <v>119</v>
      </c>
      <c r="K20" s="200" t="s">
        <v>644</v>
      </c>
      <c r="L20" s="196"/>
      <c r="M20" s="196"/>
      <c r="N20" s="196"/>
      <c r="O20" s="196"/>
      <c r="P20" s="196"/>
      <c r="Q20" s="196"/>
      <c r="R20" s="196"/>
      <c r="S20" s="196"/>
      <c r="T20" s="207"/>
      <c r="U20" s="196"/>
      <c r="V20" s="575"/>
      <c r="W20" s="576"/>
      <c r="X20" s="577"/>
      <c r="Y20" s="198"/>
      <c r="Z20" s="198"/>
      <c r="AA20" s="198"/>
      <c r="AB20" s="198"/>
      <c r="AC20" s="198"/>
      <c r="AD20" s="198"/>
      <c r="AE20" s="198"/>
      <c r="AF20" s="198"/>
      <c r="AG20" s="198"/>
      <c r="AH20" s="198"/>
      <c r="AI20" s="198"/>
      <c r="AJ20" s="198"/>
    </row>
    <row r="21" spans="1:51" s="199" customFormat="1" ht="15.75" customHeight="1" x14ac:dyDescent="0.25">
      <c r="A21" s="219"/>
      <c r="B21" s="220"/>
      <c r="C21" s="220"/>
      <c r="D21" s="220"/>
      <c r="E21" s="220"/>
      <c r="F21" s="220"/>
      <c r="G21" s="220"/>
      <c r="H21" s="220"/>
      <c r="I21" s="221"/>
      <c r="J21" s="229"/>
      <c r="K21" s="200"/>
      <c r="L21" s="196"/>
      <c r="M21" s="196"/>
      <c r="N21" s="196"/>
      <c r="O21" s="196"/>
      <c r="P21" s="196"/>
      <c r="Q21" s="196"/>
      <c r="R21" s="196"/>
      <c r="S21" s="196"/>
      <c r="T21" s="207"/>
      <c r="U21" s="196"/>
      <c r="V21" s="575"/>
      <c r="W21" s="576"/>
      <c r="X21" s="577"/>
      <c r="Y21" s="198"/>
      <c r="Z21" s="198"/>
      <c r="AA21" s="198"/>
      <c r="AB21" s="198"/>
      <c r="AC21" s="198"/>
      <c r="AD21" s="198"/>
      <c r="AE21" s="198"/>
      <c r="AF21" s="198"/>
      <c r="AG21" s="198"/>
      <c r="AH21" s="198"/>
      <c r="AI21" s="198"/>
      <c r="AJ21" s="198"/>
    </row>
    <row r="22" spans="1:51" s="199" customFormat="1" ht="15.75" x14ac:dyDescent="0.25">
      <c r="A22" s="219"/>
      <c r="B22" s="220"/>
      <c r="C22" s="220"/>
      <c r="D22" s="220"/>
      <c r="E22" s="220"/>
      <c r="F22" s="220"/>
      <c r="G22" s="220"/>
      <c r="H22" s="220"/>
      <c r="I22" s="221"/>
      <c r="J22" s="229"/>
      <c r="K22" s="600"/>
      <c r="L22" s="600"/>
      <c r="M22" s="600"/>
      <c r="N22" s="600"/>
      <c r="O22" s="600"/>
      <c r="P22" s="600"/>
      <c r="Q22" s="600"/>
      <c r="R22" s="600"/>
      <c r="S22" s="600"/>
      <c r="T22" s="600"/>
      <c r="U22" s="601"/>
      <c r="V22" s="575"/>
      <c r="W22" s="576"/>
      <c r="X22" s="577"/>
      <c r="Y22" s="198"/>
      <c r="Z22" s="198"/>
      <c r="AA22" s="198"/>
      <c r="AB22" s="198"/>
      <c r="AC22" s="198"/>
      <c r="AD22" s="198"/>
      <c r="AE22" s="198"/>
      <c r="AF22" s="198"/>
      <c r="AG22" s="198"/>
      <c r="AH22" s="198"/>
      <c r="AI22" s="198"/>
      <c r="AJ22" s="198"/>
    </row>
    <row r="23" spans="1:51" s="199" customFormat="1" ht="15.75" customHeight="1" x14ac:dyDescent="0.25">
      <c r="A23" s="219"/>
      <c r="B23" s="220"/>
      <c r="C23" s="220"/>
      <c r="D23" s="220"/>
      <c r="E23" s="220"/>
      <c r="F23" s="220"/>
      <c r="G23" s="220"/>
      <c r="H23" s="220"/>
      <c r="I23" s="221"/>
      <c r="J23" s="229"/>
      <c r="K23" s="204"/>
      <c r="L23" s="211"/>
      <c r="M23" s="211"/>
      <c r="N23" s="211"/>
      <c r="O23" s="211"/>
      <c r="P23" s="211"/>
      <c r="Q23" s="211"/>
      <c r="R23" s="211"/>
      <c r="S23" s="211"/>
      <c r="T23" s="212"/>
      <c r="U23" s="211"/>
      <c r="V23" s="575"/>
      <c r="W23" s="576"/>
      <c r="X23" s="577"/>
      <c r="Y23" s="198"/>
      <c r="Z23" s="198"/>
      <c r="AA23" s="198"/>
      <c r="AB23" s="198"/>
      <c r="AC23" s="198"/>
      <c r="AD23" s="198"/>
      <c r="AE23" s="198"/>
      <c r="AF23" s="198"/>
      <c r="AG23" s="198"/>
      <c r="AH23" s="198"/>
      <c r="AI23" s="198"/>
      <c r="AJ23" s="198"/>
    </row>
    <row r="24" spans="1:51" s="199" customFormat="1" ht="16.5" customHeight="1" x14ac:dyDescent="0.25">
      <c r="A24" s="573" t="s">
        <v>132</v>
      </c>
      <c r="B24" s="574"/>
      <c r="C24" s="574"/>
      <c r="D24" s="574"/>
      <c r="E24" s="574"/>
      <c r="F24" s="574"/>
      <c r="G24" s="574"/>
      <c r="H24" s="574"/>
      <c r="I24" s="583"/>
      <c r="J24" s="203" t="s">
        <v>119</v>
      </c>
      <c r="K24" s="200"/>
      <c r="L24" s="196"/>
      <c r="M24" s="196"/>
      <c r="N24" s="196"/>
      <c r="O24" s="196"/>
      <c r="P24" s="196"/>
      <c r="Q24" s="196"/>
      <c r="R24" s="196"/>
      <c r="S24" s="196"/>
      <c r="T24" s="207"/>
      <c r="U24" s="196"/>
      <c r="V24" s="230"/>
      <c r="W24" s="196"/>
      <c r="X24" s="197"/>
      <c r="Y24" s="198"/>
      <c r="Z24" s="198"/>
      <c r="AA24" s="198"/>
      <c r="AB24" s="198"/>
      <c r="AC24" s="198"/>
      <c r="AD24" s="198"/>
      <c r="AE24" s="198"/>
      <c r="AF24" s="198"/>
      <c r="AG24" s="198"/>
      <c r="AH24" s="198"/>
      <c r="AI24" s="198"/>
      <c r="AJ24" s="198"/>
    </row>
    <row r="25" spans="1:51" s="199" customFormat="1" ht="16.5" customHeight="1" x14ac:dyDescent="0.25">
      <c r="A25" s="208"/>
      <c r="B25" s="209"/>
      <c r="C25" s="209"/>
      <c r="D25" s="209"/>
      <c r="E25" s="209"/>
      <c r="F25" s="209"/>
      <c r="G25" s="209"/>
      <c r="H25" s="209"/>
      <c r="I25" s="225"/>
      <c r="J25" s="209"/>
      <c r="K25" s="200"/>
      <c r="L25" s="211"/>
      <c r="M25" s="211"/>
      <c r="N25" s="211"/>
      <c r="O25" s="211"/>
      <c r="P25" s="211"/>
      <c r="Q25" s="211"/>
      <c r="R25" s="211"/>
      <c r="S25" s="211"/>
      <c r="T25" s="212"/>
      <c r="U25" s="211"/>
      <c r="V25" s="230"/>
      <c r="W25" s="211"/>
      <c r="X25" s="213"/>
      <c r="Y25" s="198"/>
      <c r="Z25" s="198"/>
      <c r="AA25" s="198"/>
      <c r="AB25" s="198"/>
      <c r="AC25" s="198"/>
      <c r="AD25" s="198"/>
      <c r="AE25" s="198"/>
      <c r="AF25" s="198"/>
      <c r="AG25" s="198"/>
      <c r="AH25" s="198"/>
      <c r="AI25" s="198"/>
      <c r="AJ25" s="198"/>
    </row>
    <row r="26" spans="1:51" s="199" customFormat="1" ht="16.5" customHeight="1" x14ac:dyDescent="0.25">
      <c r="A26" s="208"/>
      <c r="B26" s="209"/>
      <c r="C26" s="209"/>
      <c r="D26" s="209"/>
      <c r="E26" s="209"/>
      <c r="F26" s="209"/>
      <c r="G26" s="209"/>
      <c r="H26" s="209"/>
      <c r="I26" s="225"/>
      <c r="J26" s="209"/>
      <c r="K26" s="200"/>
      <c r="L26" s="211"/>
      <c r="M26" s="211"/>
      <c r="N26" s="211"/>
      <c r="O26" s="211"/>
      <c r="P26" s="211"/>
      <c r="Q26" s="211"/>
      <c r="R26" s="211"/>
      <c r="S26" s="211"/>
      <c r="T26" s="212"/>
      <c r="U26" s="211"/>
      <c r="V26" s="230"/>
      <c r="W26" s="211"/>
      <c r="X26" s="213"/>
      <c r="Y26" s="198"/>
      <c r="Z26" s="198"/>
      <c r="AA26" s="198"/>
      <c r="AB26" s="198"/>
      <c r="AC26" s="198"/>
      <c r="AD26" s="198"/>
      <c r="AE26" s="198"/>
      <c r="AF26" s="198"/>
      <c r="AG26" s="198"/>
      <c r="AH26" s="198"/>
      <c r="AI26" s="198"/>
      <c r="AJ26" s="198"/>
    </row>
    <row r="27" spans="1:51" s="199" customFormat="1" ht="16.5" customHeight="1" x14ac:dyDescent="0.25">
      <c r="A27" s="208"/>
      <c r="B27" s="209"/>
      <c r="C27" s="209"/>
      <c r="D27" s="209"/>
      <c r="E27" s="209"/>
      <c r="F27" s="209"/>
      <c r="G27" s="209"/>
      <c r="H27" s="209"/>
      <c r="I27" s="225"/>
      <c r="J27" s="209"/>
      <c r="K27" s="200"/>
      <c r="L27" s="211"/>
      <c r="M27" s="211"/>
      <c r="N27" s="211"/>
      <c r="O27" s="211"/>
      <c r="P27" s="211"/>
      <c r="Q27" s="211"/>
      <c r="R27" s="211"/>
      <c r="S27" s="211"/>
      <c r="T27" s="212"/>
      <c r="U27" s="211"/>
      <c r="V27" s="231"/>
      <c r="W27" s="211"/>
      <c r="X27" s="213"/>
      <c r="Y27" s="198"/>
      <c r="Z27" s="198"/>
      <c r="AA27" s="198"/>
      <c r="AB27" s="198"/>
      <c r="AC27" s="198"/>
      <c r="AD27" s="198"/>
      <c r="AE27" s="198"/>
      <c r="AF27" s="198"/>
      <c r="AG27" s="198"/>
      <c r="AH27" s="198"/>
      <c r="AI27" s="198"/>
      <c r="AJ27" s="198"/>
    </row>
    <row r="28" spans="1:51" s="199" customFormat="1" ht="18.75" customHeight="1" x14ac:dyDescent="0.25">
      <c r="A28" s="602" t="s">
        <v>133</v>
      </c>
      <c r="B28" s="603"/>
      <c r="C28" s="603"/>
      <c r="D28" s="603"/>
      <c r="E28" s="603"/>
      <c r="F28" s="603"/>
      <c r="G28" s="603"/>
      <c r="H28" s="603"/>
      <c r="I28" s="604"/>
      <c r="J28" s="209" t="s">
        <v>119</v>
      </c>
      <c r="K28" s="200"/>
      <c r="L28" s="211"/>
      <c r="M28" s="211"/>
      <c r="N28" s="211"/>
      <c r="O28" s="211"/>
      <c r="P28" s="211"/>
      <c r="Q28" s="211"/>
      <c r="R28" s="211"/>
      <c r="S28" s="211"/>
      <c r="T28" s="212"/>
      <c r="U28" s="211"/>
      <c r="V28" s="200"/>
      <c r="W28" s="232"/>
      <c r="X28" s="233"/>
      <c r="Y28" s="198"/>
      <c r="Z28" s="198"/>
      <c r="AA28" s="198"/>
      <c r="AB28" s="198"/>
      <c r="AC28" s="198"/>
      <c r="AD28" s="198"/>
      <c r="AE28" s="198"/>
      <c r="AF28" s="198"/>
      <c r="AG28" s="198"/>
      <c r="AH28" s="198"/>
      <c r="AI28" s="198"/>
      <c r="AJ28" s="198"/>
    </row>
    <row r="29" spans="1:51" s="199" customFormat="1" ht="15.75" x14ac:dyDescent="0.25">
      <c r="A29" s="605" t="s">
        <v>134</v>
      </c>
      <c r="B29" s="606"/>
      <c r="C29" s="606"/>
      <c r="D29" s="606"/>
      <c r="E29" s="606"/>
      <c r="F29" s="606"/>
      <c r="G29" s="606"/>
      <c r="H29" s="606"/>
      <c r="I29" s="606"/>
      <c r="J29" s="606"/>
      <c r="K29" s="606"/>
      <c r="L29" s="606"/>
      <c r="M29" s="606"/>
      <c r="N29" s="606"/>
      <c r="O29" s="606"/>
      <c r="P29" s="606"/>
      <c r="Q29" s="606"/>
      <c r="R29" s="606"/>
      <c r="S29" s="606"/>
      <c r="T29" s="606"/>
      <c r="U29" s="606"/>
      <c r="V29" s="606"/>
      <c r="W29" s="606"/>
      <c r="X29" s="607"/>
    </row>
    <row r="30" spans="1:51" s="199" customFormat="1" ht="16.5" thickBot="1" x14ac:dyDescent="0.3">
      <c r="A30" s="608" t="s">
        <v>135</v>
      </c>
      <c r="B30" s="609"/>
      <c r="C30" s="609"/>
      <c r="D30" s="609"/>
      <c r="E30" s="609"/>
      <c r="F30" s="609"/>
      <c r="G30" s="609"/>
      <c r="H30" s="609"/>
      <c r="I30" s="609"/>
      <c r="J30" s="609"/>
      <c r="K30" s="609"/>
      <c r="L30" s="609"/>
      <c r="M30" s="609"/>
      <c r="N30" s="609"/>
      <c r="O30" s="609"/>
      <c r="P30" s="609"/>
      <c r="Q30" s="609"/>
      <c r="R30" s="609"/>
      <c r="S30" s="609"/>
      <c r="T30" s="609"/>
      <c r="U30" s="609"/>
      <c r="V30" s="609"/>
      <c r="W30" s="609"/>
      <c r="X30" s="610"/>
    </row>
    <row r="31" spans="1:51" s="199" customFormat="1" ht="10.5" customHeight="1" x14ac:dyDescent="0.25">
      <c r="A31" s="611" t="s">
        <v>136</v>
      </c>
      <c r="B31" s="612"/>
      <c r="C31" s="612"/>
      <c r="D31" s="612"/>
      <c r="E31" s="612"/>
      <c r="F31" s="612"/>
      <c r="G31" s="612"/>
      <c r="H31" s="613"/>
      <c r="I31" s="620" t="s">
        <v>137</v>
      </c>
      <c r="J31" s="612"/>
      <c r="K31" s="613"/>
      <c r="L31" s="620" t="s">
        <v>138</v>
      </c>
      <c r="M31" s="612"/>
      <c r="N31" s="612"/>
      <c r="O31" s="612"/>
      <c r="P31" s="612"/>
      <c r="Q31" s="612"/>
      <c r="R31" s="612"/>
      <c r="S31" s="612"/>
      <c r="T31" s="612"/>
      <c r="U31" s="612"/>
      <c r="V31" s="613"/>
      <c r="W31" s="623" t="s">
        <v>139</v>
      </c>
      <c r="X31" s="625" t="s">
        <v>140</v>
      </c>
      <c r="Y31" s="636" t="s">
        <v>567</v>
      </c>
      <c r="Z31" s="636"/>
      <c r="AA31" s="636"/>
      <c r="AB31" s="636"/>
      <c r="AC31" s="636"/>
      <c r="AD31" s="636"/>
      <c r="AE31" s="636"/>
      <c r="AF31" s="636"/>
      <c r="AG31" s="636"/>
      <c r="AH31" s="636"/>
      <c r="AI31" s="636"/>
      <c r="AJ31" s="637"/>
      <c r="AK31" s="642" t="s">
        <v>139</v>
      </c>
      <c r="AL31" s="645" t="s">
        <v>568</v>
      </c>
      <c r="AM31" s="636"/>
      <c r="AN31" s="636"/>
      <c r="AO31" s="636"/>
      <c r="AP31" s="636"/>
      <c r="AQ31" s="636"/>
      <c r="AR31" s="636"/>
      <c r="AS31" s="636"/>
      <c r="AT31" s="636"/>
      <c r="AU31" s="636"/>
      <c r="AV31" s="636"/>
      <c r="AW31" s="637"/>
      <c r="AX31" s="642" t="s">
        <v>139</v>
      </c>
      <c r="AY31" s="648" t="s">
        <v>141</v>
      </c>
    </row>
    <row r="32" spans="1:51" s="199" customFormat="1" ht="6.75" customHeight="1" x14ac:dyDescent="0.25">
      <c r="A32" s="614"/>
      <c r="B32" s="615"/>
      <c r="C32" s="615"/>
      <c r="D32" s="615"/>
      <c r="E32" s="615"/>
      <c r="F32" s="615"/>
      <c r="G32" s="615"/>
      <c r="H32" s="616"/>
      <c r="I32" s="621"/>
      <c r="J32" s="615"/>
      <c r="K32" s="616"/>
      <c r="L32" s="621"/>
      <c r="M32" s="615"/>
      <c r="N32" s="615"/>
      <c r="O32" s="615"/>
      <c r="P32" s="615"/>
      <c r="Q32" s="615"/>
      <c r="R32" s="615"/>
      <c r="S32" s="615"/>
      <c r="T32" s="615"/>
      <c r="U32" s="615"/>
      <c r="V32" s="616"/>
      <c r="W32" s="624"/>
      <c r="X32" s="626"/>
      <c r="Y32" s="638"/>
      <c r="Z32" s="638"/>
      <c r="AA32" s="638"/>
      <c r="AB32" s="638"/>
      <c r="AC32" s="638"/>
      <c r="AD32" s="638"/>
      <c r="AE32" s="638"/>
      <c r="AF32" s="638"/>
      <c r="AG32" s="638"/>
      <c r="AH32" s="638"/>
      <c r="AI32" s="638"/>
      <c r="AJ32" s="639"/>
      <c r="AK32" s="643"/>
      <c r="AL32" s="646"/>
      <c r="AM32" s="638"/>
      <c r="AN32" s="638"/>
      <c r="AO32" s="638"/>
      <c r="AP32" s="638"/>
      <c r="AQ32" s="638"/>
      <c r="AR32" s="638"/>
      <c r="AS32" s="638"/>
      <c r="AT32" s="638"/>
      <c r="AU32" s="638"/>
      <c r="AV32" s="638"/>
      <c r="AW32" s="639"/>
      <c r="AX32" s="643"/>
      <c r="AY32" s="649"/>
    </row>
    <row r="33" spans="1:51" s="199" customFormat="1" ht="10.5" customHeight="1" thickBot="1" x14ac:dyDescent="0.3">
      <c r="A33" s="614"/>
      <c r="B33" s="615"/>
      <c r="C33" s="615"/>
      <c r="D33" s="615"/>
      <c r="E33" s="615"/>
      <c r="F33" s="615"/>
      <c r="G33" s="615"/>
      <c r="H33" s="616"/>
      <c r="I33" s="621"/>
      <c r="J33" s="615"/>
      <c r="K33" s="616"/>
      <c r="L33" s="628" t="s">
        <v>79</v>
      </c>
      <c r="M33" s="629"/>
      <c r="N33" s="629"/>
      <c r="O33" s="629"/>
      <c r="P33" s="629"/>
      <c r="Q33" s="629"/>
      <c r="R33" s="629"/>
      <c r="S33" s="630"/>
      <c r="T33" s="631" t="s">
        <v>80</v>
      </c>
      <c r="U33" s="631" t="s">
        <v>81</v>
      </c>
      <c r="V33" s="631" t="s">
        <v>82</v>
      </c>
      <c r="W33" s="624"/>
      <c r="X33" s="626"/>
      <c r="Y33" s="640"/>
      <c r="Z33" s="640"/>
      <c r="AA33" s="640"/>
      <c r="AB33" s="640"/>
      <c r="AC33" s="640"/>
      <c r="AD33" s="640"/>
      <c r="AE33" s="640"/>
      <c r="AF33" s="640"/>
      <c r="AG33" s="640"/>
      <c r="AH33" s="640"/>
      <c r="AI33" s="640"/>
      <c r="AJ33" s="641"/>
      <c r="AK33" s="643"/>
      <c r="AL33" s="647"/>
      <c r="AM33" s="640"/>
      <c r="AN33" s="640"/>
      <c r="AO33" s="640"/>
      <c r="AP33" s="640"/>
      <c r="AQ33" s="640"/>
      <c r="AR33" s="640"/>
      <c r="AS33" s="640"/>
      <c r="AT33" s="640"/>
      <c r="AU33" s="640"/>
      <c r="AV33" s="640"/>
      <c r="AW33" s="641"/>
      <c r="AX33" s="643"/>
      <c r="AY33" s="649"/>
    </row>
    <row r="34" spans="1:51" s="199" customFormat="1" ht="8.25" customHeight="1" thickBot="1" x14ac:dyDescent="0.3">
      <c r="A34" s="614"/>
      <c r="B34" s="615"/>
      <c r="C34" s="615"/>
      <c r="D34" s="615"/>
      <c r="E34" s="615"/>
      <c r="F34" s="615"/>
      <c r="G34" s="615"/>
      <c r="H34" s="616"/>
      <c r="I34" s="621"/>
      <c r="J34" s="615"/>
      <c r="K34" s="616"/>
      <c r="L34" s="621"/>
      <c r="M34" s="615"/>
      <c r="N34" s="615"/>
      <c r="O34" s="615"/>
      <c r="P34" s="615"/>
      <c r="Q34" s="615"/>
      <c r="R34" s="615"/>
      <c r="S34" s="616"/>
      <c r="T34" s="632"/>
      <c r="U34" s="632"/>
      <c r="V34" s="632"/>
      <c r="W34" s="634" t="s">
        <v>142</v>
      </c>
      <c r="X34" s="626"/>
      <c r="Y34" s="653" t="s">
        <v>50</v>
      </c>
      <c r="Z34" s="655" t="s">
        <v>53</v>
      </c>
      <c r="AA34" s="655" t="s">
        <v>55</v>
      </c>
      <c r="AB34" s="655" t="s">
        <v>57</v>
      </c>
      <c r="AC34" s="657" t="s">
        <v>59</v>
      </c>
      <c r="AD34" s="657" t="s">
        <v>61</v>
      </c>
      <c r="AE34" s="657" t="s">
        <v>101</v>
      </c>
      <c r="AF34" s="657" t="s">
        <v>107</v>
      </c>
      <c r="AG34" s="651" t="s">
        <v>143</v>
      </c>
      <c r="AH34" s="651" t="s">
        <v>144</v>
      </c>
      <c r="AI34" s="651" t="s">
        <v>145</v>
      </c>
      <c r="AJ34" s="651" t="s">
        <v>146</v>
      </c>
      <c r="AK34" s="643"/>
      <c r="AL34" s="655" t="s">
        <v>50</v>
      </c>
      <c r="AM34" s="655" t="s">
        <v>53</v>
      </c>
      <c r="AN34" s="655" t="s">
        <v>55</v>
      </c>
      <c r="AO34" s="655" t="s">
        <v>57</v>
      </c>
      <c r="AP34" s="657" t="s">
        <v>59</v>
      </c>
      <c r="AQ34" s="657" t="s">
        <v>61</v>
      </c>
      <c r="AR34" s="657" t="s">
        <v>101</v>
      </c>
      <c r="AS34" s="657" t="s">
        <v>107</v>
      </c>
      <c r="AT34" s="651" t="s">
        <v>143</v>
      </c>
      <c r="AU34" s="651" t="s">
        <v>144</v>
      </c>
      <c r="AV34" s="651" t="s">
        <v>145</v>
      </c>
      <c r="AW34" s="651" t="s">
        <v>146</v>
      </c>
      <c r="AX34" s="643"/>
      <c r="AY34" s="649"/>
    </row>
    <row r="35" spans="1:51" s="199" customFormat="1" ht="12.75" customHeight="1" thickBot="1" x14ac:dyDescent="0.3">
      <c r="A35" s="617"/>
      <c r="B35" s="618"/>
      <c r="C35" s="618"/>
      <c r="D35" s="618"/>
      <c r="E35" s="618"/>
      <c r="F35" s="618"/>
      <c r="G35" s="618"/>
      <c r="H35" s="619"/>
      <c r="I35" s="622"/>
      <c r="J35" s="618"/>
      <c r="K35" s="619"/>
      <c r="L35" s="622"/>
      <c r="M35" s="618"/>
      <c r="N35" s="618"/>
      <c r="O35" s="618"/>
      <c r="P35" s="618"/>
      <c r="Q35" s="618"/>
      <c r="R35" s="618"/>
      <c r="S35" s="619"/>
      <c r="T35" s="633"/>
      <c r="U35" s="633"/>
      <c r="V35" s="633"/>
      <c r="W35" s="635"/>
      <c r="X35" s="627"/>
      <c r="Y35" s="654"/>
      <c r="Z35" s="656"/>
      <c r="AA35" s="656"/>
      <c r="AB35" s="656"/>
      <c r="AC35" s="658"/>
      <c r="AD35" s="658"/>
      <c r="AE35" s="658"/>
      <c r="AF35" s="658"/>
      <c r="AG35" s="652"/>
      <c r="AH35" s="652"/>
      <c r="AI35" s="652"/>
      <c r="AJ35" s="652"/>
      <c r="AK35" s="644"/>
      <c r="AL35" s="656"/>
      <c r="AM35" s="656"/>
      <c r="AN35" s="656"/>
      <c r="AO35" s="656"/>
      <c r="AP35" s="658"/>
      <c r="AQ35" s="658"/>
      <c r="AR35" s="658"/>
      <c r="AS35" s="658"/>
      <c r="AT35" s="652"/>
      <c r="AU35" s="652"/>
      <c r="AV35" s="652"/>
      <c r="AW35" s="652"/>
      <c r="AX35" s="644"/>
      <c r="AY35" s="650"/>
    </row>
    <row r="36" spans="1:51" s="199" customFormat="1" ht="15.75" x14ac:dyDescent="0.25">
      <c r="A36" s="661">
        <v>1</v>
      </c>
      <c r="B36" s="662"/>
      <c r="C36" s="662"/>
      <c r="D36" s="662"/>
      <c r="E36" s="662"/>
      <c r="F36" s="662"/>
      <c r="G36" s="662"/>
      <c r="H36" s="663"/>
      <c r="I36" s="664">
        <v>2</v>
      </c>
      <c r="J36" s="665"/>
      <c r="K36" s="666"/>
      <c r="L36" s="664">
        <v>3</v>
      </c>
      <c r="M36" s="665"/>
      <c r="N36" s="665"/>
      <c r="O36" s="665"/>
      <c r="P36" s="665"/>
      <c r="Q36" s="665"/>
      <c r="R36" s="665"/>
      <c r="S36" s="665"/>
      <c r="T36" s="234">
        <v>4</v>
      </c>
      <c r="U36" s="235">
        <v>5</v>
      </c>
      <c r="V36" s="236">
        <v>6</v>
      </c>
      <c r="W36" s="237" t="s">
        <v>147</v>
      </c>
      <c r="X36" s="237">
        <v>8</v>
      </c>
      <c r="Y36" s="238"/>
      <c r="Z36" s="239"/>
      <c r="AA36" s="239"/>
      <c r="AB36" s="239"/>
      <c r="AC36" s="240"/>
      <c r="AD36" s="240"/>
      <c r="AE36" s="240"/>
      <c r="AF36" s="240"/>
      <c r="AG36" s="241"/>
      <c r="AH36" s="241"/>
      <c r="AI36" s="241"/>
      <c r="AJ36" s="242"/>
      <c r="AK36" s="243"/>
      <c r="AL36" s="244"/>
      <c r="AM36" s="239"/>
      <c r="AN36" s="239"/>
      <c r="AO36" s="239"/>
      <c r="AP36" s="240"/>
      <c r="AQ36" s="240"/>
      <c r="AR36" s="240"/>
      <c r="AS36" s="240"/>
      <c r="AT36" s="241"/>
      <c r="AU36" s="241"/>
      <c r="AV36" s="241"/>
      <c r="AW36" s="242"/>
      <c r="AX36" s="243"/>
      <c r="AY36" s="245"/>
    </row>
    <row r="37" spans="1:51" s="268" customFormat="1" ht="15" customHeight="1" x14ac:dyDescent="0.25">
      <c r="A37" s="246"/>
      <c r="B37" s="247" t="s">
        <v>59</v>
      </c>
      <c r="C37" s="247"/>
      <c r="D37" s="247"/>
      <c r="E37" s="247"/>
      <c r="F37" s="247"/>
      <c r="G37" s="247"/>
      <c r="H37" s="248"/>
      <c r="I37" s="249"/>
      <c r="J37" s="250" t="s">
        <v>148</v>
      </c>
      <c r="K37" s="251"/>
      <c r="L37" s="252"/>
      <c r="M37" s="253"/>
      <c r="N37" s="253"/>
      <c r="O37" s="253"/>
      <c r="P37" s="253"/>
      <c r="Q37" s="253"/>
      <c r="R37" s="253"/>
      <c r="S37" s="253"/>
      <c r="T37" s="254"/>
      <c r="U37" s="254"/>
      <c r="V37" s="255"/>
      <c r="W37" s="256">
        <f t="shared" ref="W37:W38" si="0">W38</f>
        <v>3755000</v>
      </c>
      <c r="X37" s="257"/>
      <c r="Y37" s="258"/>
      <c r="Z37" s="259"/>
      <c r="AA37" s="260"/>
      <c r="AB37" s="261"/>
      <c r="AC37" s="262"/>
      <c r="AD37" s="262"/>
      <c r="AE37" s="262"/>
      <c r="AF37" s="262"/>
      <c r="AG37" s="263"/>
      <c r="AH37" s="263"/>
      <c r="AI37" s="263"/>
      <c r="AJ37" s="264"/>
      <c r="AK37" s="265"/>
      <c r="AL37" s="266"/>
      <c r="AM37" s="259"/>
      <c r="AN37" s="260"/>
      <c r="AO37" s="261"/>
      <c r="AP37" s="262"/>
      <c r="AQ37" s="262"/>
      <c r="AR37" s="262"/>
      <c r="AS37" s="262"/>
      <c r="AT37" s="263"/>
      <c r="AU37" s="263"/>
      <c r="AV37" s="263"/>
      <c r="AW37" s="264"/>
      <c r="AX37" s="265"/>
      <c r="AY37" s="267"/>
    </row>
    <row r="38" spans="1:51" s="268" customFormat="1" ht="15" customHeight="1" x14ac:dyDescent="0.25">
      <c r="A38" s="269"/>
      <c r="B38" s="270" t="s">
        <v>59</v>
      </c>
      <c r="C38" s="334" t="s">
        <v>50</v>
      </c>
      <c r="D38" s="271"/>
      <c r="E38" s="271"/>
      <c r="F38" s="272"/>
      <c r="G38" s="270"/>
      <c r="H38" s="273"/>
      <c r="I38" s="274"/>
      <c r="J38" s="275" t="s">
        <v>149</v>
      </c>
      <c r="K38" s="276"/>
      <c r="L38" s="277"/>
      <c r="M38" s="278"/>
      <c r="N38" s="278"/>
      <c r="O38" s="278"/>
      <c r="P38" s="278"/>
      <c r="Q38" s="278"/>
      <c r="R38" s="278"/>
      <c r="S38" s="278"/>
      <c r="T38" s="279"/>
      <c r="U38" s="279"/>
      <c r="V38" s="280"/>
      <c r="W38" s="281">
        <f t="shared" si="0"/>
        <v>3755000</v>
      </c>
      <c r="X38" s="257"/>
      <c r="Y38" s="258"/>
      <c r="Z38" s="259"/>
      <c r="AA38" s="261"/>
      <c r="AB38" s="261"/>
      <c r="AC38" s="262"/>
      <c r="AD38" s="262"/>
      <c r="AE38" s="262"/>
      <c r="AF38" s="262"/>
      <c r="AG38" s="263"/>
      <c r="AH38" s="263"/>
      <c r="AI38" s="263"/>
      <c r="AJ38" s="264"/>
      <c r="AK38" s="265"/>
      <c r="AL38" s="266"/>
      <c r="AM38" s="259"/>
      <c r="AN38" s="261"/>
      <c r="AO38" s="261"/>
      <c r="AP38" s="262"/>
      <c r="AQ38" s="262"/>
      <c r="AR38" s="262"/>
      <c r="AS38" s="262"/>
      <c r="AT38" s="263"/>
      <c r="AU38" s="263"/>
      <c r="AV38" s="263"/>
      <c r="AW38" s="264"/>
      <c r="AX38" s="265"/>
      <c r="AY38" s="267"/>
    </row>
    <row r="39" spans="1:51" s="268" customFormat="1" ht="15" customHeight="1" x14ac:dyDescent="0.25">
      <c r="A39" s="269"/>
      <c r="B39" s="270" t="s">
        <v>59</v>
      </c>
      <c r="C39" s="334" t="s">
        <v>50</v>
      </c>
      <c r="D39" s="288" t="s">
        <v>67</v>
      </c>
      <c r="E39" s="271"/>
      <c r="F39" s="271"/>
      <c r="G39" s="270"/>
      <c r="H39" s="273"/>
      <c r="I39" s="282"/>
      <c r="J39" s="283" t="s">
        <v>150</v>
      </c>
      <c r="K39" s="284"/>
      <c r="L39" s="285"/>
      <c r="M39" s="286"/>
      <c r="N39" s="286"/>
      <c r="O39" s="286"/>
      <c r="P39" s="286"/>
      <c r="Q39" s="286"/>
      <c r="R39" s="286"/>
      <c r="S39" s="286"/>
      <c r="T39" s="279"/>
      <c r="U39" s="279"/>
      <c r="V39" s="280"/>
      <c r="W39" s="281">
        <f>W40+W50</f>
        <v>3755000</v>
      </c>
      <c r="X39" s="287"/>
      <c r="Y39" s="258"/>
      <c r="Z39" s="259"/>
      <c r="AA39" s="261"/>
      <c r="AB39" s="261"/>
      <c r="AC39" s="262"/>
      <c r="AD39" s="262"/>
      <c r="AE39" s="262"/>
      <c r="AF39" s="262"/>
      <c r="AG39" s="263"/>
      <c r="AH39" s="263"/>
      <c r="AI39" s="263"/>
      <c r="AJ39" s="264"/>
      <c r="AK39" s="265"/>
      <c r="AL39" s="266"/>
      <c r="AM39" s="259"/>
      <c r="AN39" s="261"/>
      <c r="AO39" s="261"/>
      <c r="AP39" s="262"/>
      <c r="AQ39" s="262"/>
      <c r="AR39" s="262"/>
      <c r="AS39" s="262"/>
      <c r="AT39" s="263"/>
      <c r="AU39" s="263"/>
      <c r="AV39" s="263"/>
      <c r="AW39" s="264"/>
      <c r="AX39" s="265"/>
      <c r="AY39" s="267"/>
    </row>
    <row r="40" spans="1:51" s="305" customFormat="1" ht="15" customHeight="1" x14ac:dyDescent="0.25">
      <c r="A40" s="269"/>
      <c r="B40" s="270" t="s">
        <v>59</v>
      </c>
      <c r="C40" s="270" t="s">
        <v>50</v>
      </c>
      <c r="D40" s="288" t="s">
        <v>67</v>
      </c>
      <c r="E40" s="288" t="s">
        <v>65</v>
      </c>
      <c r="F40" s="271"/>
      <c r="G40" s="270"/>
      <c r="H40" s="273"/>
      <c r="I40" s="289"/>
      <c r="J40" s="275" t="s">
        <v>151</v>
      </c>
      <c r="K40" s="290"/>
      <c r="L40" s="291"/>
      <c r="M40" s="292"/>
      <c r="N40" s="292"/>
      <c r="O40" s="292"/>
      <c r="P40" s="292"/>
      <c r="Q40" s="292"/>
      <c r="R40" s="292"/>
      <c r="S40" s="292"/>
      <c r="T40" s="293"/>
      <c r="U40" s="293"/>
      <c r="V40" s="294"/>
      <c r="W40" s="295">
        <f>W41</f>
        <v>2955000</v>
      </c>
      <c r="X40" s="296"/>
      <c r="Y40" s="297"/>
      <c r="Z40" s="259"/>
      <c r="AA40" s="298"/>
      <c r="AB40" s="298"/>
      <c r="AC40" s="299"/>
      <c r="AD40" s="299"/>
      <c r="AE40" s="299"/>
      <c r="AF40" s="299"/>
      <c r="AG40" s="300"/>
      <c r="AH40" s="300"/>
      <c r="AI40" s="300"/>
      <c r="AJ40" s="301"/>
      <c r="AK40" s="302"/>
      <c r="AL40" s="303"/>
      <c r="AM40" s="259"/>
      <c r="AN40" s="298"/>
      <c r="AO40" s="298"/>
      <c r="AP40" s="299"/>
      <c r="AQ40" s="299"/>
      <c r="AR40" s="299"/>
      <c r="AS40" s="299"/>
      <c r="AT40" s="300"/>
      <c r="AU40" s="300"/>
      <c r="AV40" s="300"/>
      <c r="AW40" s="301"/>
      <c r="AX40" s="302"/>
      <c r="AY40" s="304"/>
    </row>
    <row r="41" spans="1:51" s="305" customFormat="1" ht="15" customHeight="1" x14ac:dyDescent="0.25">
      <c r="A41" s="269"/>
      <c r="B41" s="270" t="s">
        <v>59</v>
      </c>
      <c r="C41" s="270" t="s">
        <v>50</v>
      </c>
      <c r="D41" s="288" t="s">
        <v>67</v>
      </c>
      <c r="E41" s="288" t="s">
        <v>65</v>
      </c>
      <c r="F41" s="271" t="s">
        <v>65</v>
      </c>
      <c r="G41" s="270"/>
      <c r="H41" s="273"/>
      <c r="I41" s="289"/>
      <c r="J41" s="275" t="s">
        <v>152</v>
      </c>
      <c r="K41" s="290"/>
      <c r="L41" s="291"/>
      <c r="M41" s="292"/>
      <c r="N41" s="292"/>
      <c r="O41" s="292"/>
      <c r="P41" s="292"/>
      <c r="Q41" s="292"/>
      <c r="R41" s="292"/>
      <c r="S41" s="292"/>
      <c r="T41" s="293"/>
      <c r="U41" s="293"/>
      <c r="V41" s="294"/>
      <c r="W41" s="295">
        <f>W42</f>
        <v>2955000</v>
      </c>
      <c r="X41" s="296"/>
      <c r="Y41" s="297"/>
      <c r="Z41" s="259"/>
      <c r="AA41" s="298"/>
      <c r="AB41" s="298"/>
      <c r="AC41" s="299"/>
      <c r="AD41" s="299"/>
      <c r="AE41" s="299"/>
      <c r="AF41" s="299"/>
      <c r="AG41" s="300"/>
      <c r="AH41" s="300"/>
      <c r="AI41" s="300"/>
      <c r="AJ41" s="301"/>
      <c r="AK41" s="302"/>
      <c r="AL41" s="303"/>
      <c r="AM41" s="259"/>
      <c r="AN41" s="298"/>
      <c r="AO41" s="298"/>
      <c r="AP41" s="299"/>
      <c r="AQ41" s="299"/>
      <c r="AR41" s="299"/>
      <c r="AS41" s="299"/>
      <c r="AT41" s="300"/>
      <c r="AU41" s="300"/>
      <c r="AV41" s="300"/>
      <c r="AW41" s="301"/>
      <c r="AX41" s="302"/>
      <c r="AY41" s="304"/>
    </row>
    <row r="42" spans="1:51" s="330" customFormat="1" ht="15" customHeight="1" x14ac:dyDescent="0.25">
      <c r="A42" s="306"/>
      <c r="B42" s="307" t="s">
        <v>59</v>
      </c>
      <c r="C42" s="307" t="s">
        <v>50</v>
      </c>
      <c r="D42" s="309" t="s">
        <v>67</v>
      </c>
      <c r="E42" s="309" t="s">
        <v>65</v>
      </c>
      <c r="F42" s="308" t="s">
        <v>65</v>
      </c>
      <c r="G42" s="310" t="s">
        <v>645</v>
      </c>
      <c r="H42" s="311"/>
      <c r="I42" s="312"/>
      <c r="J42" s="313" t="s">
        <v>646</v>
      </c>
      <c r="K42" s="314"/>
      <c r="L42" s="315"/>
      <c r="M42" s="316"/>
      <c r="N42" s="316"/>
      <c r="O42" s="316"/>
      <c r="P42" s="316"/>
      <c r="Q42" s="316"/>
      <c r="R42" s="316"/>
      <c r="S42" s="316"/>
      <c r="T42" s="317"/>
      <c r="U42" s="317"/>
      <c r="V42" s="318"/>
      <c r="W42" s="319">
        <f>SUM(W43:W46)</f>
        <v>2955000</v>
      </c>
      <c r="X42" s="320"/>
      <c r="Y42" s="321"/>
      <c r="Z42" s="322"/>
      <c r="AA42" s="323"/>
      <c r="AB42" s="323"/>
      <c r="AC42" s="324"/>
      <c r="AD42" s="324"/>
      <c r="AE42" s="324"/>
      <c r="AF42" s="324"/>
      <c r="AG42" s="325"/>
      <c r="AH42" s="325"/>
      <c r="AI42" s="325"/>
      <c r="AJ42" s="326"/>
      <c r="AK42" s="327"/>
      <c r="AL42" s="328"/>
      <c r="AM42" s="322"/>
      <c r="AN42" s="323"/>
      <c r="AO42" s="323"/>
      <c r="AP42" s="324"/>
      <c r="AQ42" s="324"/>
      <c r="AR42" s="324"/>
      <c r="AS42" s="324"/>
      <c r="AT42" s="325"/>
      <c r="AU42" s="325"/>
      <c r="AV42" s="325"/>
      <c r="AW42" s="326"/>
      <c r="AX42" s="327"/>
      <c r="AY42" s="329"/>
    </row>
    <row r="43" spans="1:51" s="330" customFormat="1" ht="15" customHeight="1" x14ac:dyDescent="0.25">
      <c r="A43" s="306"/>
      <c r="B43" s="307"/>
      <c r="C43" s="307"/>
      <c r="D43" s="308"/>
      <c r="E43" s="308"/>
      <c r="F43" s="308"/>
      <c r="G43" s="307"/>
      <c r="H43" s="311"/>
      <c r="I43" s="312"/>
      <c r="J43" s="331" t="s">
        <v>647</v>
      </c>
      <c r="K43" s="314"/>
      <c r="L43" s="315"/>
      <c r="M43" s="316"/>
      <c r="N43" s="316"/>
      <c r="O43" s="316"/>
      <c r="P43" s="316"/>
      <c r="Q43" s="316"/>
      <c r="R43" s="316">
        <v>50</v>
      </c>
      <c r="S43" s="316" t="s">
        <v>648</v>
      </c>
      <c r="T43" s="317">
        <f>R43</f>
        <v>50</v>
      </c>
      <c r="U43" s="317" t="s">
        <v>648</v>
      </c>
      <c r="V43" s="318">
        <v>2500</v>
      </c>
      <c r="W43" s="484">
        <f>V43*T43</f>
        <v>125000</v>
      </c>
      <c r="X43" s="320" t="s">
        <v>649</v>
      </c>
      <c r="Y43" s="321"/>
      <c r="Z43" s="322"/>
      <c r="AA43" s="323"/>
      <c r="AB43" s="323">
        <f>W43</f>
        <v>125000</v>
      </c>
      <c r="AC43" s="324"/>
      <c r="AD43" s="324"/>
      <c r="AE43" s="324"/>
      <c r="AF43" s="324"/>
      <c r="AG43" s="325"/>
      <c r="AH43" s="325"/>
      <c r="AI43" s="325"/>
      <c r="AJ43" s="326"/>
      <c r="AK43" s="332">
        <f t="shared" ref="AK43:AK45" si="1">SUM(Y43:AJ43)</f>
        <v>125000</v>
      </c>
      <c r="AL43" s="328"/>
      <c r="AM43" s="322"/>
      <c r="AN43" s="323"/>
      <c r="AO43" s="323"/>
      <c r="AP43" s="324"/>
      <c r="AQ43" s="324"/>
      <c r="AR43" s="324"/>
      <c r="AS43" s="324"/>
      <c r="AT43" s="325"/>
      <c r="AU43" s="325"/>
      <c r="AV43" s="325"/>
      <c r="AW43" s="326"/>
      <c r="AX43" s="332">
        <f t="shared" ref="AX43:AX44" si="2">SUM(AL43:AW43)</f>
        <v>0</v>
      </c>
      <c r="AY43" s="333">
        <f t="shared" ref="AY43:AY44" si="3">AK43-AX43</f>
        <v>125000</v>
      </c>
    </row>
    <row r="44" spans="1:51" s="330" customFormat="1" ht="15" customHeight="1" x14ac:dyDescent="0.25">
      <c r="A44" s="306"/>
      <c r="B44" s="307"/>
      <c r="C44" s="307"/>
      <c r="D44" s="308"/>
      <c r="E44" s="308"/>
      <c r="F44" s="308"/>
      <c r="G44" s="307"/>
      <c r="H44" s="311"/>
      <c r="I44" s="312"/>
      <c r="J44" s="331" t="s">
        <v>827</v>
      </c>
      <c r="K44" s="314"/>
      <c r="L44" s="315"/>
      <c r="M44" s="316"/>
      <c r="N44" s="316"/>
      <c r="O44" s="316"/>
      <c r="P44" s="316"/>
      <c r="Q44" s="316"/>
      <c r="R44" s="316">
        <v>4</v>
      </c>
      <c r="S44" s="316" t="s">
        <v>631</v>
      </c>
      <c r="T44" s="317">
        <f>R44</f>
        <v>4</v>
      </c>
      <c r="U44" s="317" t="s">
        <v>631</v>
      </c>
      <c r="V44" s="318">
        <v>150000</v>
      </c>
      <c r="W44" s="484">
        <f>V44*T44</f>
        <v>600000</v>
      </c>
      <c r="X44" s="320" t="s">
        <v>649</v>
      </c>
      <c r="Y44" s="321"/>
      <c r="Z44" s="322"/>
      <c r="AA44" s="323"/>
      <c r="AB44" s="323">
        <f>W44</f>
        <v>600000</v>
      </c>
      <c r="AC44" s="324"/>
      <c r="AD44" s="324"/>
      <c r="AE44" s="324"/>
      <c r="AF44" s="324"/>
      <c r="AG44" s="325"/>
      <c r="AH44" s="325"/>
      <c r="AI44" s="325"/>
      <c r="AJ44" s="326"/>
      <c r="AK44" s="332">
        <f t="shared" si="1"/>
        <v>600000</v>
      </c>
      <c r="AL44" s="328"/>
      <c r="AM44" s="322"/>
      <c r="AN44" s="323"/>
      <c r="AO44" s="323"/>
      <c r="AP44" s="324"/>
      <c r="AQ44" s="324"/>
      <c r="AR44" s="324"/>
      <c r="AS44" s="324"/>
      <c r="AT44" s="325"/>
      <c r="AU44" s="325"/>
      <c r="AV44" s="325"/>
      <c r="AW44" s="326"/>
      <c r="AX44" s="332">
        <f t="shared" si="2"/>
        <v>0</v>
      </c>
      <c r="AY44" s="333">
        <f t="shared" si="3"/>
        <v>600000</v>
      </c>
    </row>
    <row r="45" spans="1:51" s="330" customFormat="1" ht="15" customHeight="1" x14ac:dyDescent="0.25">
      <c r="A45" s="306"/>
      <c r="B45" s="307"/>
      <c r="C45" s="307"/>
      <c r="D45" s="309"/>
      <c r="E45" s="309"/>
      <c r="F45" s="308"/>
      <c r="G45" s="310"/>
      <c r="H45" s="311"/>
      <c r="I45" s="312"/>
      <c r="J45" s="331" t="s">
        <v>863</v>
      </c>
      <c r="K45" s="314"/>
      <c r="L45" s="315"/>
      <c r="M45" s="316"/>
      <c r="N45" s="316"/>
      <c r="O45" s="316"/>
      <c r="P45" s="316"/>
      <c r="Q45" s="316"/>
      <c r="R45" s="316">
        <v>50</v>
      </c>
      <c r="S45" s="316" t="s">
        <v>648</v>
      </c>
      <c r="T45" s="317">
        <v>50</v>
      </c>
      <c r="U45" s="316" t="s">
        <v>648</v>
      </c>
      <c r="V45" s="318">
        <v>17600</v>
      </c>
      <c r="W45" s="484">
        <f t="shared" ref="W45:W46" si="4">V45*T45</f>
        <v>880000</v>
      </c>
      <c r="X45" s="320" t="s">
        <v>649</v>
      </c>
      <c r="Y45" s="321"/>
      <c r="Z45" s="322"/>
      <c r="AA45" s="323">
        <f>W45</f>
        <v>880000</v>
      </c>
      <c r="AB45" s="323"/>
      <c r="AC45" s="324"/>
      <c r="AD45" s="324"/>
      <c r="AE45" s="324"/>
      <c r="AF45" s="324"/>
      <c r="AG45" s="325"/>
      <c r="AH45" s="325"/>
      <c r="AI45" s="325"/>
      <c r="AJ45" s="326"/>
      <c r="AK45" s="332">
        <f t="shared" si="1"/>
        <v>880000</v>
      </c>
      <c r="AL45" s="328"/>
      <c r="AM45" s="322"/>
      <c r="AN45" s="323"/>
      <c r="AO45" s="323"/>
      <c r="AP45" s="324"/>
      <c r="AQ45" s="324"/>
      <c r="AR45" s="324"/>
      <c r="AS45" s="324"/>
      <c r="AT45" s="325"/>
      <c r="AU45" s="325"/>
      <c r="AV45" s="325"/>
      <c r="AW45" s="326"/>
      <c r="AX45" s="332"/>
      <c r="AY45" s="333"/>
    </row>
    <row r="46" spans="1:51" s="330" customFormat="1" ht="15" customHeight="1" x14ac:dyDescent="0.25">
      <c r="A46" s="306"/>
      <c r="B46" s="307"/>
      <c r="C46" s="307"/>
      <c r="D46" s="308"/>
      <c r="E46" s="308"/>
      <c r="F46" s="308"/>
      <c r="G46" s="307"/>
      <c r="H46" s="311"/>
      <c r="I46" s="312"/>
      <c r="J46" s="331" t="s">
        <v>864</v>
      </c>
      <c r="K46" s="314"/>
      <c r="L46" s="315"/>
      <c r="M46" s="316"/>
      <c r="N46" s="316"/>
      <c r="O46" s="316"/>
      <c r="P46" s="316"/>
      <c r="Q46" s="316"/>
      <c r="R46" s="316">
        <v>3</v>
      </c>
      <c r="S46" s="316" t="s">
        <v>865</v>
      </c>
      <c r="T46" s="317">
        <v>3</v>
      </c>
      <c r="U46" s="316" t="s">
        <v>865</v>
      </c>
      <c r="V46" s="318">
        <v>450000</v>
      </c>
      <c r="W46" s="484">
        <f t="shared" si="4"/>
        <v>1350000</v>
      </c>
      <c r="X46" s="320" t="s">
        <v>649</v>
      </c>
      <c r="Y46" s="321"/>
      <c r="Z46" s="322"/>
      <c r="AA46" s="323"/>
      <c r="AB46" s="323"/>
      <c r="AC46" s="324"/>
      <c r="AD46" s="324"/>
      <c r="AE46" s="324"/>
      <c r="AF46" s="324"/>
      <c r="AG46" s="325"/>
      <c r="AH46" s="325"/>
      <c r="AI46" s="325"/>
      <c r="AJ46" s="326"/>
      <c r="AK46" s="332"/>
      <c r="AL46" s="328"/>
      <c r="AM46" s="322"/>
      <c r="AN46" s="323"/>
      <c r="AO46" s="323"/>
      <c r="AP46" s="324"/>
      <c r="AQ46" s="324"/>
      <c r="AR46" s="324"/>
      <c r="AS46" s="324"/>
      <c r="AT46" s="325"/>
      <c r="AU46" s="325"/>
      <c r="AV46" s="325"/>
      <c r="AW46" s="326"/>
      <c r="AX46" s="332"/>
      <c r="AY46" s="333"/>
    </row>
    <row r="47" spans="1:51" s="330" customFormat="1" ht="15" customHeight="1" x14ac:dyDescent="0.25">
      <c r="A47" s="306"/>
      <c r="B47" s="307"/>
      <c r="C47" s="307"/>
      <c r="D47" s="308"/>
      <c r="E47" s="308"/>
      <c r="F47" s="308"/>
      <c r="G47" s="307"/>
      <c r="H47" s="311"/>
      <c r="I47" s="312"/>
      <c r="J47" s="331"/>
      <c r="K47" s="314"/>
      <c r="L47" s="315"/>
      <c r="M47" s="316"/>
      <c r="N47" s="316"/>
      <c r="O47" s="316"/>
      <c r="P47" s="316"/>
      <c r="Q47" s="316"/>
      <c r="R47" s="316"/>
      <c r="S47" s="316"/>
      <c r="T47" s="317"/>
      <c r="U47" s="316"/>
      <c r="V47" s="318"/>
      <c r="W47" s="484"/>
      <c r="X47" s="320"/>
      <c r="Y47" s="321"/>
      <c r="Z47" s="322"/>
      <c r="AA47" s="323"/>
      <c r="AB47" s="323"/>
      <c r="AC47" s="324"/>
      <c r="AD47" s="324"/>
      <c r="AE47" s="324"/>
      <c r="AF47" s="324"/>
      <c r="AG47" s="325"/>
      <c r="AH47" s="325"/>
      <c r="AI47" s="325"/>
      <c r="AJ47" s="326"/>
      <c r="AK47" s="332"/>
      <c r="AL47" s="328"/>
      <c r="AM47" s="322"/>
      <c r="AN47" s="323"/>
      <c r="AO47" s="323"/>
      <c r="AP47" s="324"/>
      <c r="AQ47" s="324"/>
      <c r="AR47" s="324"/>
      <c r="AS47" s="324"/>
      <c r="AT47" s="325"/>
      <c r="AU47" s="325"/>
      <c r="AV47" s="325"/>
      <c r="AW47" s="326"/>
      <c r="AX47" s="332"/>
      <c r="AY47" s="333"/>
    </row>
    <row r="48" spans="1:51" s="330" customFormat="1" ht="15" customHeight="1" x14ac:dyDescent="0.25">
      <c r="A48" s="306"/>
      <c r="B48" s="307"/>
      <c r="C48" s="307"/>
      <c r="D48" s="308"/>
      <c r="E48" s="308"/>
      <c r="F48" s="308"/>
      <c r="G48" s="307"/>
      <c r="H48" s="311"/>
      <c r="I48" s="312"/>
      <c r="J48" s="331"/>
      <c r="K48" s="314"/>
      <c r="L48" s="315"/>
      <c r="M48" s="316"/>
      <c r="N48" s="316"/>
      <c r="O48" s="316"/>
      <c r="P48" s="316"/>
      <c r="Q48" s="316"/>
      <c r="R48" s="316"/>
      <c r="S48" s="316"/>
      <c r="T48" s="317"/>
      <c r="U48" s="317"/>
      <c r="V48" s="318"/>
      <c r="W48" s="319"/>
      <c r="X48" s="320"/>
      <c r="Y48" s="321"/>
      <c r="Z48" s="322"/>
      <c r="AA48" s="323"/>
      <c r="AB48" s="323"/>
      <c r="AC48" s="324"/>
      <c r="AD48" s="324"/>
      <c r="AE48" s="324"/>
      <c r="AF48" s="324"/>
      <c r="AG48" s="325"/>
      <c r="AH48" s="325"/>
      <c r="AI48" s="325"/>
      <c r="AJ48" s="326"/>
      <c r="AK48" s="332"/>
      <c r="AL48" s="328"/>
      <c r="AM48" s="322"/>
      <c r="AN48" s="323"/>
      <c r="AO48" s="323"/>
      <c r="AP48" s="324"/>
      <c r="AQ48" s="324"/>
      <c r="AR48" s="324"/>
      <c r="AS48" s="324"/>
      <c r="AT48" s="325"/>
      <c r="AU48" s="325"/>
      <c r="AV48" s="325"/>
      <c r="AW48" s="326"/>
      <c r="AX48" s="332"/>
      <c r="AY48" s="333"/>
    </row>
    <row r="49" spans="1:51" s="330" customFormat="1" ht="15" customHeight="1" x14ac:dyDescent="0.25">
      <c r="A49" s="306"/>
      <c r="B49" s="307"/>
      <c r="C49" s="307"/>
      <c r="D49" s="308"/>
      <c r="E49" s="308"/>
      <c r="F49" s="308"/>
      <c r="G49" s="307"/>
      <c r="H49" s="311"/>
      <c r="I49" s="312"/>
      <c r="J49" s="331"/>
      <c r="K49" s="314"/>
      <c r="L49" s="315"/>
      <c r="M49" s="316"/>
      <c r="N49" s="316"/>
      <c r="O49" s="316"/>
      <c r="P49" s="316"/>
      <c r="Q49" s="316"/>
      <c r="R49" s="316"/>
      <c r="S49" s="316"/>
      <c r="T49" s="317"/>
      <c r="U49" s="317"/>
      <c r="V49" s="318"/>
      <c r="W49" s="319"/>
      <c r="X49" s="320"/>
      <c r="Y49" s="321"/>
      <c r="Z49" s="322"/>
      <c r="AA49" s="323"/>
      <c r="AB49" s="323"/>
      <c r="AC49" s="324"/>
      <c r="AD49" s="324"/>
      <c r="AE49" s="324"/>
      <c r="AF49" s="324"/>
      <c r="AG49" s="325"/>
      <c r="AH49" s="325"/>
      <c r="AI49" s="325"/>
      <c r="AJ49" s="326"/>
      <c r="AK49" s="332"/>
      <c r="AL49" s="328"/>
      <c r="AM49" s="322"/>
      <c r="AN49" s="323"/>
      <c r="AO49" s="323"/>
      <c r="AP49" s="324"/>
      <c r="AQ49" s="324"/>
      <c r="AR49" s="324"/>
      <c r="AS49" s="324"/>
      <c r="AT49" s="325"/>
      <c r="AU49" s="325"/>
      <c r="AV49" s="325"/>
      <c r="AW49" s="326"/>
      <c r="AX49" s="332"/>
      <c r="AY49" s="333"/>
    </row>
    <row r="50" spans="1:51" s="305" customFormat="1" ht="15" customHeight="1" x14ac:dyDescent="0.25">
      <c r="A50" s="269"/>
      <c r="B50" s="270" t="s">
        <v>59</v>
      </c>
      <c r="C50" s="270" t="s">
        <v>50</v>
      </c>
      <c r="D50" s="288" t="s">
        <v>67</v>
      </c>
      <c r="E50" s="288" t="s">
        <v>67</v>
      </c>
      <c r="F50" s="271"/>
      <c r="G50" s="270"/>
      <c r="H50" s="273"/>
      <c r="I50" s="289"/>
      <c r="J50" s="283" t="s">
        <v>153</v>
      </c>
      <c r="K50" s="290"/>
      <c r="L50" s="291"/>
      <c r="M50" s="292"/>
      <c r="N50" s="292"/>
      <c r="O50" s="292"/>
      <c r="P50" s="292"/>
      <c r="Q50" s="292"/>
      <c r="R50" s="292"/>
      <c r="S50" s="292"/>
      <c r="T50" s="293"/>
      <c r="U50" s="293"/>
      <c r="V50" s="294"/>
      <c r="W50" s="295">
        <f>W51</f>
        <v>800000</v>
      </c>
      <c r="X50" s="296"/>
      <c r="Y50" s="297"/>
      <c r="Z50" s="259"/>
      <c r="AA50" s="298"/>
      <c r="AB50" s="298"/>
      <c r="AC50" s="299"/>
      <c r="AD50" s="299"/>
      <c r="AE50" s="299"/>
      <c r="AF50" s="299"/>
      <c r="AG50" s="300"/>
      <c r="AH50" s="300"/>
      <c r="AI50" s="300"/>
      <c r="AJ50" s="301"/>
      <c r="AK50" s="335"/>
      <c r="AL50" s="303"/>
      <c r="AM50" s="259"/>
      <c r="AN50" s="298"/>
      <c r="AO50" s="298"/>
      <c r="AP50" s="299"/>
      <c r="AQ50" s="299"/>
      <c r="AR50" s="299"/>
      <c r="AS50" s="299"/>
      <c r="AT50" s="300"/>
      <c r="AU50" s="300"/>
      <c r="AV50" s="300"/>
      <c r="AW50" s="301"/>
      <c r="AX50" s="335"/>
      <c r="AY50" s="336"/>
    </row>
    <row r="51" spans="1:51" s="305" customFormat="1" ht="15" customHeight="1" x14ac:dyDescent="0.25">
      <c r="A51" s="269"/>
      <c r="B51" s="270" t="s">
        <v>59</v>
      </c>
      <c r="C51" s="270" t="s">
        <v>50</v>
      </c>
      <c r="D51" s="288" t="s">
        <v>67</v>
      </c>
      <c r="E51" s="288" t="s">
        <v>67</v>
      </c>
      <c r="F51" s="271" t="s">
        <v>65</v>
      </c>
      <c r="G51" s="270"/>
      <c r="H51" s="273"/>
      <c r="I51" s="289"/>
      <c r="J51" s="283" t="s">
        <v>154</v>
      </c>
      <c r="K51" s="290"/>
      <c r="L51" s="291"/>
      <c r="M51" s="292"/>
      <c r="N51" s="292"/>
      <c r="O51" s="292"/>
      <c r="P51" s="292"/>
      <c r="Q51" s="292"/>
      <c r="R51" s="292"/>
      <c r="S51" s="292"/>
      <c r="T51" s="293"/>
      <c r="U51" s="293"/>
      <c r="V51" s="294"/>
      <c r="W51" s="295">
        <f>W52</f>
        <v>800000</v>
      </c>
      <c r="X51" s="296"/>
      <c r="Y51" s="297"/>
      <c r="Z51" s="259"/>
      <c r="AA51" s="298"/>
      <c r="AB51" s="298"/>
      <c r="AC51" s="299"/>
      <c r="AD51" s="299"/>
      <c r="AE51" s="299"/>
      <c r="AF51" s="299"/>
      <c r="AG51" s="300"/>
      <c r="AH51" s="300"/>
      <c r="AI51" s="300"/>
      <c r="AJ51" s="301"/>
      <c r="AK51" s="335"/>
      <c r="AL51" s="303"/>
      <c r="AM51" s="259"/>
      <c r="AN51" s="298"/>
      <c r="AO51" s="298"/>
      <c r="AP51" s="299"/>
      <c r="AQ51" s="299"/>
      <c r="AR51" s="299"/>
      <c r="AS51" s="299"/>
      <c r="AT51" s="300"/>
      <c r="AU51" s="300"/>
      <c r="AV51" s="300"/>
      <c r="AW51" s="301"/>
      <c r="AX51" s="335"/>
      <c r="AY51" s="336"/>
    </row>
    <row r="52" spans="1:51" s="330" customFormat="1" ht="15" customHeight="1" x14ac:dyDescent="0.25">
      <c r="A52" s="306"/>
      <c r="B52" s="307" t="s">
        <v>59</v>
      </c>
      <c r="C52" s="307" t="s">
        <v>50</v>
      </c>
      <c r="D52" s="309" t="s">
        <v>67</v>
      </c>
      <c r="E52" s="309" t="s">
        <v>67</v>
      </c>
      <c r="F52" s="308" t="s">
        <v>65</v>
      </c>
      <c r="G52" s="310" t="s">
        <v>650</v>
      </c>
      <c r="H52" s="311"/>
      <c r="I52" s="312"/>
      <c r="J52" s="331" t="s">
        <v>651</v>
      </c>
      <c r="K52" s="314"/>
      <c r="L52" s="315"/>
      <c r="M52" s="316"/>
      <c r="N52" s="316"/>
      <c r="O52" s="316"/>
      <c r="P52" s="316"/>
      <c r="Q52" s="316"/>
      <c r="R52" s="316"/>
      <c r="S52" s="316"/>
      <c r="T52" s="317"/>
      <c r="U52" s="317"/>
      <c r="V52" s="318"/>
      <c r="W52" s="319">
        <f>SUM(W54:W56)</f>
        <v>800000</v>
      </c>
      <c r="X52" s="320"/>
      <c r="Y52" s="321"/>
      <c r="Z52" s="322"/>
      <c r="AA52" s="323"/>
      <c r="AB52" s="323"/>
      <c r="AC52" s="324"/>
      <c r="AD52" s="324"/>
      <c r="AE52" s="324"/>
      <c r="AF52" s="324"/>
      <c r="AG52" s="325"/>
      <c r="AH52" s="325"/>
      <c r="AI52" s="325"/>
      <c r="AJ52" s="326"/>
      <c r="AK52" s="332"/>
      <c r="AL52" s="328"/>
      <c r="AM52" s="322"/>
      <c r="AN52" s="323"/>
      <c r="AO52" s="323"/>
      <c r="AP52" s="324"/>
      <c r="AQ52" s="324"/>
      <c r="AR52" s="324"/>
      <c r="AS52" s="324"/>
      <c r="AT52" s="325"/>
      <c r="AU52" s="325"/>
      <c r="AV52" s="325"/>
      <c r="AW52" s="326"/>
      <c r="AX52" s="332"/>
      <c r="AY52" s="333"/>
    </row>
    <row r="53" spans="1:51" s="330" customFormat="1" ht="15" customHeight="1" x14ac:dyDescent="0.25">
      <c r="A53" s="306"/>
      <c r="B53" s="307"/>
      <c r="C53" s="307"/>
      <c r="D53" s="308"/>
      <c r="E53" s="308"/>
      <c r="F53" s="308"/>
      <c r="G53" s="307"/>
      <c r="H53" s="311"/>
      <c r="I53" s="312"/>
      <c r="J53" s="283" t="s">
        <v>653</v>
      </c>
      <c r="K53" s="314"/>
      <c r="L53" s="315"/>
      <c r="M53" s="316"/>
      <c r="N53" s="316"/>
      <c r="O53" s="316"/>
      <c r="P53" s="316"/>
      <c r="Q53" s="316"/>
      <c r="R53" s="316"/>
      <c r="S53" s="316"/>
      <c r="T53" s="317"/>
      <c r="U53" s="317"/>
      <c r="V53" s="318"/>
      <c r="W53" s="319"/>
      <c r="X53" s="320"/>
      <c r="Y53" s="321"/>
      <c r="Z53" s="322"/>
      <c r="AA53" s="323"/>
      <c r="AB53" s="323"/>
      <c r="AC53" s="324"/>
      <c r="AD53" s="324"/>
      <c r="AE53" s="324"/>
      <c r="AF53" s="324"/>
      <c r="AG53" s="325"/>
      <c r="AH53" s="325"/>
      <c r="AI53" s="325"/>
      <c r="AJ53" s="326"/>
      <c r="AK53" s="332"/>
      <c r="AL53" s="328"/>
      <c r="AM53" s="322"/>
      <c r="AN53" s="323"/>
      <c r="AO53" s="323"/>
      <c r="AP53" s="324"/>
      <c r="AQ53" s="324"/>
      <c r="AR53" s="324"/>
      <c r="AS53" s="324"/>
      <c r="AT53" s="325"/>
      <c r="AU53" s="325"/>
      <c r="AV53" s="325"/>
      <c r="AW53" s="326"/>
      <c r="AX53" s="332"/>
      <c r="AY53" s="333"/>
    </row>
    <row r="54" spans="1:51" s="330" customFormat="1" ht="15" customHeight="1" x14ac:dyDescent="0.25">
      <c r="A54" s="306"/>
      <c r="B54" s="307"/>
      <c r="C54" s="307"/>
      <c r="D54" s="308"/>
      <c r="E54" s="308"/>
      <c r="F54" s="308"/>
      <c r="G54" s="307"/>
      <c r="H54" s="311"/>
      <c r="I54" s="312"/>
      <c r="J54" s="331" t="s">
        <v>652</v>
      </c>
      <c r="K54" s="314"/>
      <c r="L54" s="315"/>
      <c r="M54" s="316"/>
      <c r="N54" s="316"/>
      <c r="O54" s="316">
        <v>1</v>
      </c>
      <c r="P54" s="316" t="s">
        <v>656</v>
      </c>
      <c r="Q54" s="316" t="s">
        <v>658</v>
      </c>
      <c r="R54" s="316">
        <v>2</v>
      </c>
      <c r="S54" s="316" t="s">
        <v>155</v>
      </c>
      <c r="T54" s="317">
        <f>R54*O54</f>
        <v>2</v>
      </c>
      <c r="U54" s="317" t="s">
        <v>657</v>
      </c>
      <c r="V54" s="318">
        <v>175000</v>
      </c>
      <c r="W54" s="484">
        <f>V54*T54</f>
        <v>350000</v>
      </c>
      <c r="X54" s="320" t="s">
        <v>649</v>
      </c>
      <c r="Y54" s="321"/>
      <c r="Z54" s="322"/>
      <c r="AA54" s="323"/>
      <c r="AB54" s="323"/>
      <c r="AC54" s="324"/>
      <c r="AD54" s="324">
        <f>W54</f>
        <v>350000</v>
      </c>
      <c r="AE54" s="324"/>
      <c r="AF54" s="324"/>
      <c r="AG54" s="325"/>
      <c r="AH54" s="325"/>
      <c r="AI54" s="325"/>
      <c r="AJ54" s="326"/>
      <c r="AK54" s="332">
        <f t="shared" ref="AK54:AK56" si="5">SUM(Y54:AJ54)</f>
        <v>350000</v>
      </c>
      <c r="AL54" s="328"/>
      <c r="AM54" s="322"/>
      <c r="AN54" s="323"/>
      <c r="AO54" s="323"/>
      <c r="AP54" s="324"/>
      <c r="AQ54" s="324"/>
      <c r="AR54" s="324"/>
      <c r="AS54" s="324"/>
      <c r="AT54" s="325"/>
      <c r="AU54" s="325"/>
      <c r="AV54" s="325"/>
      <c r="AW54" s="326"/>
      <c r="AX54" s="332">
        <f t="shared" ref="AX54" si="6">SUM(AL54:AW54)</f>
        <v>0</v>
      </c>
      <c r="AY54" s="333">
        <f t="shared" ref="AY54" si="7">AK54-AX54</f>
        <v>350000</v>
      </c>
    </row>
    <row r="55" spans="1:51" s="330" customFormat="1" ht="15" customHeight="1" x14ac:dyDescent="0.25">
      <c r="A55" s="306"/>
      <c r="B55" s="307"/>
      <c r="C55" s="307"/>
      <c r="D55" s="308"/>
      <c r="E55" s="308"/>
      <c r="F55" s="308"/>
      <c r="G55" s="307"/>
      <c r="H55" s="311"/>
      <c r="I55" s="312"/>
      <c r="J55" s="331" t="s">
        <v>654</v>
      </c>
      <c r="K55" s="314"/>
      <c r="L55" s="315"/>
      <c r="M55" s="316"/>
      <c r="N55" s="316"/>
      <c r="O55" s="316">
        <v>1</v>
      </c>
      <c r="P55" s="316" t="s">
        <v>656</v>
      </c>
      <c r="Q55" s="316" t="s">
        <v>658</v>
      </c>
      <c r="R55" s="316">
        <v>2</v>
      </c>
      <c r="S55" s="316" t="s">
        <v>155</v>
      </c>
      <c r="T55" s="317">
        <f t="shared" ref="T55:T56" si="8">R55*O55</f>
        <v>2</v>
      </c>
      <c r="U55" s="317" t="s">
        <v>657</v>
      </c>
      <c r="V55" s="318">
        <v>125000</v>
      </c>
      <c r="W55" s="484">
        <f>V55*T55</f>
        <v>250000</v>
      </c>
      <c r="X55" s="320" t="s">
        <v>649</v>
      </c>
      <c r="Y55" s="321"/>
      <c r="Z55" s="322"/>
      <c r="AA55" s="323"/>
      <c r="AB55" s="323"/>
      <c r="AC55" s="324"/>
      <c r="AD55" s="324">
        <f>W55</f>
        <v>250000</v>
      </c>
      <c r="AE55" s="324"/>
      <c r="AF55" s="324"/>
      <c r="AG55" s="325"/>
      <c r="AH55" s="325"/>
      <c r="AI55" s="325"/>
      <c r="AJ55" s="326"/>
      <c r="AK55" s="332">
        <f t="shared" si="5"/>
        <v>250000</v>
      </c>
      <c r="AL55" s="328"/>
      <c r="AM55" s="322"/>
      <c r="AN55" s="323"/>
      <c r="AO55" s="323"/>
      <c r="AP55" s="324"/>
      <c r="AQ55" s="324"/>
      <c r="AR55" s="324"/>
      <c r="AS55" s="324"/>
      <c r="AT55" s="325"/>
      <c r="AU55" s="325"/>
      <c r="AV55" s="325"/>
      <c r="AW55" s="326"/>
      <c r="AX55" s="332">
        <f t="shared" ref="AX55:AX56" si="9">SUM(AL55:AW55)</f>
        <v>0</v>
      </c>
      <c r="AY55" s="333">
        <f t="shared" ref="AY55:AY56" si="10">AK55-AX55</f>
        <v>250000</v>
      </c>
    </row>
    <row r="56" spans="1:51" s="330" customFormat="1" ht="15" customHeight="1" x14ac:dyDescent="0.25">
      <c r="A56" s="306"/>
      <c r="B56" s="307"/>
      <c r="C56" s="307"/>
      <c r="D56" s="308"/>
      <c r="E56" s="308"/>
      <c r="F56" s="308"/>
      <c r="G56" s="307"/>
      <c r="H56" s="311"/>
      <c r="I56" s="312"/>
      <c r="J56" s="331" t="s">
        <v>655</v>
      </c>
      <c r="K56" s="314"/>
      <c r="L56" s="315"/>
      <c r="M56" s="316"/>
      <c r="N56" s="316"/>
      <c r="O56" s="316">
        <v>1</v>
      </c>
      <c r="P56" s="316" t="s">
        <v>656</v>
      </c>
      <c r="Q56" s="316" t="s">
        <v>658</v>
      </c>
      <c r="R56" s="316">
        <v>2</v>
      </c>
      <c r="S56" s="316" t="s">
        <v>155</v>
      </c>
      <c r="T56" s="317">
        <f t="shared" si="8"/>
        <v>2</v>
      </c>
      <c r="U56" s="317" t="s">
        <v>657</v>
      </c>
      <c r="V56" s="318">
        <v>100000</v>
      </c>
      <c r="W56" s="484">
        <f>V56*T56</f>
        <v>200000</v>
      </c>
      <c r="X56" s="320" t="s">
        <v>649</v>
      </c>
      <c r="Y56" s="321"/>
      <c r="Z56" s="322"/>
      <c r="AA56" s="323"/>
      <c r="AB56" s="323"/>
      <c r="AC56" s="324"/>
      <c r="AD56" s="324">
        <f>W56</f>
        <v>200000</v>
      </c>
      <c r="AE56" s="324"/>
      <c r="AF56" s="324"/>
      <c r="AG56" s="325"/>
      <c r="AH56" s="325"/>
      <c r="AI56" s="325"/>
      <c r="AJ56" s="326"/>
      <c r="AK56" s="332">
        <f t="shared" si="5"/>
        <v>200000</v>
      </c>
      <c r="AL56" s="328"/>
      <c r="AM56" s="322"/>
      <c r="AN56" s="323"/>
      <c r="AO56" s="323"/>
      <c r="AP56" s="324"/>
      <c r="AQ56" s="324"/>
      <c r="AR56" s="324"/>
      <c r="AS56" s="324"/>
      <c r="AT56" s="325"/>
      <c r="AU56" s="325"/>
      <c r="AV56" s="325"/>
      <c r="AW56" s="326"/>
      <c r="AX56" s="332">
        <f t="shared" si="9"/>
        <v>0</v>
      </c>
      <c r="AY56" s="333">
        <f t="shared" si="10"/>
        <v>200000</v>
      </c>
    </row>
    <row r="57" spans="1:51" s="345" customFormat="1" ht="15" customHeight="1" x14ac:dyDescent="0.25">
      <c r="A57" s="306"/>
      <c r="B57" s="307"/>
      <c r="C57" s="307"/>
      <c r="D57" s="308"/>
      <c r="E57" s="308"/>
      <c r="F57" s="308"/>
      <c r="G57" s="307"/>
      <c r="H57" s="311"/>
      <c r="I57" s="347"/>
      <c r="J57" s="313"/>
      <c r="K57" s="284"/>
      <c r="L57" s="285"/>
      <c r="M57" s="286"/>
      <c r="N57" s="286"/>
      <c r="O57" s="286"/>
      <c r="P57" s="286"/>
      <c r="Q57" s="286"/>
      <c r="R57" s="286"/>
      <c r="S57" s="286"/>
      <c r="T57" s="279"/>
      <c r="U57" s="279"/>
      <c r="V57" s="280"/>
      <c r="W57" s="346"/>
      <c r="X57" s="348"/>
      <c r="Y57" s="337"/>
      <c r="Z57" s="338"/>
      <c r="AA57" s="338"/>
      <c r="AB57" s="338"/>
      <c r="AC57" s="339"/>
      <c r="AD57" s="339"/>
      <c r="AE57" s="339"/>
      <c r="AF57" s="339"/>
      <c r="AG57" s="340"/>
      <c r="AH57" s="340"/>
      <c r="AI57" s="340"/>
      <c r="AJ57" s="341"/>
      <c r="AK57" s="343"/>
      <c r="AL57" s="342"/>
      <c r="AM57" s="338"/>
      <c r="AN57" s="338"/>
      <c r="AO57" s="338"/>
      <c r="AP57" s="339"/>
      <c r="AQ57" s="339"/>
      <c r="AR57" s="339"/>
      <c r="AS57" s="339"/>
      <c r="AT57" s="340"/>
      <c r="AU57" s="340"/>
      <c r="AV57" s="340"/>
      <c r="AW57" s="341"/>
      <c r="AX57" s="343"/>
      <c r="AY57" s="344"/>
    </row>
    <row r="58" spans="1:51" s="268" customFormat="1" ht="15" customHeight="1" thickBot="1" x14ac:dyDescent="0.3">
      <c r="A58" s="349"/>
      <c r="B58" s="350"/>
      <c r="C58" s="350"/>
      <c r="D58" s="351"/>
      <c r="E58" s="351"/>
      <c r="F58" s="351"/>
      <c r="G58" s="350"/>
      <c r="H58" s="352"/>
      <c r="I58" s="353"/>
      <c r="J58" s="354"/>
      <c r="K58" s="314"/>
      <c r="L58" s="331"/>
      <c r="M58" s="355"/>
      <c r="N58" s="355"/>
      <c r="O58" s="355"/>
      <c r="P58" s="355"/>
      <c r="Q58" s="355"/>
      <c r="R58" s="355"/>
      <c r="S58" s="355"/>
      <c r="T58" s="356"/>
      <c r="U58" s="317"/>
      <c r="V58" s="357"/>
      <c r="W58" s="358"/>
      <c r="X58" s="348"/>
      <c r="Y58" s="359"/>
      <c r="Z58" s="360"/>
      <c r="AA58" s="360"/>
      <c r="AB58" s="360"/>
      <c r="AC58" s="361"/>
      <c r="AD58" s="361"/>
      <c r="AE58" s="361"/>
      <c r="AF58" s="361"/>
      <c r="AG58" s="362"/>
      <c r="AH58" s="362"/>
      <c r="AI58" s="362"/>
      <c r="AJ58" s="363"/>
      <c r="AK58" s="265"/>
      <c r="AL58" s="364"/>
      <c r="AM58" s="360"/>
      <c r="AN58" s="360"/>
      <c r="AO58" s="360"/>
      <c r="AP58" s="361"/>
      <c r="AQ58" s="361"/>
      <c r="AR58" s="361"/>
      <c r="AS58" s="361"/>
      <c r="AT58" s="362"/>
      <c r="AU58" s="362"/>
      <c r="AV58" s="362"/>
      <c r="AW58" s="363"/>
      <c r="AX58" s="265"/>
      <c r="AY58" s="267"/>
    </row>
    <row r="59" spans="1:51" s="379" customFormat="1" ht="20.25" customHeight="1" thickBot="1" x14ac:dyDescent="0.3">
      <c r="A59" s="365" t="s">
        <v>157</v>
      </c>
      <c r="B59" s="366"/>
      <c r="C59" s="367"/>
      <c r="D59" s="367"/>
      <c r="E59" s="367"/>
      <c r="F59" s="367"/>
      <c r="G59" s="367"/>
      <c r="H59" s="367"/>
      <c r="I59" s="367"/>
      <c r="J59" s="367"/>
      <c r="K59" s="367"/>
      <c r="L59" s="367"/>
      <c r="M59" s="367"/>
      <c r="N59" s="367"/>
      <c r="O59" s="367"/>
      <c r="P59" s="367"/>
      <c r="Q59" s="367"/>
      <c r="R59" s="367"/>
      <c r="S59" s="367"/>
      <c r="T59" s="367"/>
      <c r="U59" s="367"/>
      <c r="V59" s="368"/>
      <c r="W59" s="369">
        <f>W37</f>
        <v>3755000</v>
      </c>
      <c r="X59" s="370"/>
      <c r="Y59" s="371"/>
      <c r="Z59" s="372"/>
      <c r="AA59" s="372"/>
      <c r="AB59" s="372"/>
      <c r="AC59" s="373"/>
      <c r="AD59" s="373"/>
      <c r="AE59" s="373"/>
      <c r="AF59" s="373"/>
      <c r="AG59" s="374"/>
      <c r="AH59" s="374"/>
      <c r="AI59" s="374"/>
      <c r="AJ59" s="375"/>
      <c r="AK59" s="376">
        <f>SUM(AK36:AK58)</f>
        <v>2405000</v>
      </c>
      <c r="AL59" s="377"/>
      <c r="AM59" s="372"/>
      <c r="AN59" s="372"/>
      <c r="AO59" s="372"/>
      <c r="AP59" s="373"/>
      <c r="AQ59" s="373"/>
      <c r="AR59" s="373"/>
      <c r="AS59" s="373"/>
      <c r="AT59" s="374"/>
      <c r="AU59" s="374"/>
      <c r="AV59" s="374"/>
      <c r="AW59" s="375"/>
      <c r="AX59" s="376">
        <f>SUM(AX36:AX58)</f>
        <v>0</v>
      </c>
      <c r="AY59" s="378">
        <f>SUM(AY36:AY58)</f>
        <v>1525000</v>
      </c>
    </row>
    <row r="60" spans="1:51" s="268" customFormat="1" ht="15.75" x14ac:dyDescent="0.25">
      <c r="A60" s="219" t="s">
        <v>158</v>
      </c>
      <c r="B60" s="380"/>
      <c r="C60" s="380"/>
      <c r="D60" s="380"/>
      <c r="E60" s="380"/>
      <c r="F60" s="380"/>
      <c r="G60" s="380"/>
      <c r="H60" s="380"/>
      <c r="I60" s="380"/>
      <c r="J60" s="380"/>
      <c r="K60" s="381"/>
      <c r="L60" s="382"/>
      <c r="M60" s="380"/>
      <c r="N60" s="380"/>
      <c r="O60" s="380"/>
      <c r="P60" s="380"/>
      <c r="Q60" s="380"/>
      <c r="R60" s="380"/>
      <c r="S60" s="380"/>
      <c r="T60" s="383"/>
      <c r="U60" s="384"/>
      <c r="V60" s="384"/>
      <c r="W60" s="384"/>
      <c r="X60" s="385"/>
      <c r="Y60" s="386"/>
      <c r="Z60" s="387"/>
      <c r="AA60" s="387"/>
      <c r="AB60" s="387"/>
      <c r="AC60" s="387"/>
      <c r="AD60" s="387"/>
      <c r="AE60" s="387"/>
      <c r="AF60" s="387"/>
      <c r="AG60" s="387"/>
      <c r="AH60" s="387"/>
      <c r="AI60" s="387"/>
      <c r="AJ60" s="387"/>
    </row>
    <row r="61" spans="1:51" s="268" customFormat="1" ht="15.75" x14ac:dyDescent="0.25">
      <c r="A61" s="219" t="s">
        <v>159</v>
      </c>
      <c r="B61" s="220"/>
      <c r="C61" s="380"/>
      <c r="D61" s="660" t="s">
        <v>160</v>
      </c>
      <c r="E61" s="660"/>
      <c r="F61" s="660"/>
      <c r="G61" s="660"/>
      <c r="H61" s="660"/>
      <c r="I61" s="388"/>
      <c r="J61" s="388"/>
      <c r="K61" s="389"/>
      <c r="L61" s="390"/>
      <c r="M61" s="391"/>
      <c r="N61" s="391"/>
      <c r="O61" s="391"/>
      <c r="P61" s="391"/>
      <c r="Q61" s="391"/>
      <c r="R61" s="391"/>
      <c r="S61" s="391"/>
      <c r="T61" s="380"/>
      <c r="U61" s="388"/>
      <c r="V61" s="392" t="s">
        <v>842</v>
      </c>
      <c r="W61" s="393"/>
      <c r="X61" s="394"/>
      <c r="Y61" s="387"/>
      <c r="Z61" s="387"/>
      <c r="AA61" s="387" t="s">
        <v>161</v>
      </c>
      <c r="AB61" s="387"/>
      <c r="AC61" s="387"/>
      <c r="AD61" s="387"/>
      <c r="AE61" s="387"/>
      <c r="AF61" s="387"/>
      <c r="AG61" s="387"/>
      <c r="AH61" s="387"/>
      <c r="AI61" s="387"/>
      <c r="AJ61" s="387"/>
    </row>
    <row r="62" spans="1:51" s="268" customFormat="1" ht="12" customHeight="1" x14ac:dyDescent="0.25">
      <c r="A62" s="219" t="s">
        <v>162</v>
      </c>
      <c r="B62" s="220"/>
      <c r="C62" s="380"/>
      <c r="D62" s="660" t="s">
        <v>160</v>
      </c>
      <c r="E62" s="660"/>
      <c r="F62" s="660"/>
      <c r="G62" s="660"/>
      <c r="H62" s="660"/>
      <c r="I62" s="388"/>
      <c r="J62" s="388"/>
      <c r="K62" s="389"/>
      <c r="L62" s="390"/>
      <c r="M62" s="391"/>
      <c r="N62" s="391"/>
      <c r="O62" s="391"/>
      <c r="P62" s="391"/>
      <c r="Q62" s="391"/>
      <c r="R62" s="391"/>
      <c r="S62" s="391"/>
      <c r="T62" s="380"/>
      <c r="U62" s="384"/>
      <c r="V62" s="395" t="s">
        <v>26</v>
      </c>
      <c r="W62" s="393"/>
      <c r="X62" s="394"/>
      <c r="Y62" s="387"/>
      <c r="Z62" s="387"/>
      <c r="AA62" s="387"/>
      <c r="AB62" s="387"/>
      <c r="AC62" s="387"/>
      <c r="AD62" s="387"/>
      <c r="AE62" s="387"/>
      <c r="AF62" s="387"/>
      <c r="AG62" s="387"/>
      <c r="AH62" s="387"/>
      <c r="AI62" s="387"/>
      <c r="AJ62" s="387"/>
    </row>
    <row r="63" spans="1:51" s="268" customFormat="1" ht="15.75" x14ac:dyDescent="0.25">
      <c r="A63" s="219" t="s">
        <v>163</v>
      </c>
      <c r="B63" s="220"/>
      <c r="C63" s="380"/>
      <c r="D63" s="660" t="s">
        <v>160</v>
      </c>
      <c r="E63" s="660"/>
      <c r="F63" s="660"/>
      <c r="G63" s="660"/>
      <c r="H63" s="660"/>
      <c r="I63" s="388"/>
      <c r="J63" s="388"/>
      <c r="K63" s="389"/>
      <c r="L63" s="390"/>
      <c r="M63" s="391"/>
      <c r="N63" s="391"/>
      <c r="O63" s="391"/>
      <c r="P63" s="391"/>
      <c r="Q63" s="391"/>
      <c r="R63" s="391"/>
      <c r="S63" s="391"/>
      <c r="T63" s="380"/>
      <c r="U63" s="384"/>
      <c r="V63" s="395"/>
      <c r="W63" s="393"/>
      <c r="X63" s="394"/>
      <c r="Y63" s="387"/>
      <c r="Z63" s="387"/>
      <c r="AA63" s="387"/>
      <c r="AB63" s="387"/>
      <c r="AC63" s="387"/>
      <c r="AD63" s="387"/>
      <c r="AE63" s="387"/>
      <c r="AF63" s="387"/>
      <c r="AG63" s="387"/>
      <c r="AH63" s="387"/>
      <c r="AI63" s="387"/>
      <c r="AJ63" s="387"/>
    </row>
    <row r="64" spans="1:51" s="268" customFormat="1" ht="15.75" x14ac:dyDescent="0.25">
      <c r="A64" s="219"/>
      <c r="B64" s="220"/>
      <c r="C64" s="380"/>
      <c r="D64" s="659"/>
      <c r="E64" s="659"/>
      <c r="F64" s="659"/>
      <c r="G64" s="659"/>
      <c r="H64" s="659"/>
      <c r="I64" s="388"/>
      <c r="J64" s="388"/>
      <c r="K64" s="396"/>
      <c r="L64" s="390"/>
      <c r="M64" s="391"/>
      <c r="N64" s="391"/>
      <c r="O64" s="391"/>
      <c r="P64" s="391"/>
      <c r="Q64" s="391"/>
      <c r="R64" s="391"/>
      <c r="S64" s="391"/>
      <c r="T64" s="380"/>
      <c r="U64" s="393"/>
      <c r="V64" s="395"/>
      <c r="W64" s="393"/>
      <c r="X64" s="394"/>
      <c r="Y64" s="387"/>
      <c r="Z64" s="387"/>
      <c r="AA64" s="387"/>
      <c r="AB64" s="387"/>
      <c r="AC64" s="387"/>
      <c r="AD64" s="387"/>
      <c r="AE64" s="387"/>
      <c r="AF64" s="387"/>
      <c r="AG64" s="387"/>
      <c r="AH64" s="387"/>
      <c r="AI64" s="387"/>
      <c r="AJ64" s="387"/>
    </row>
    <row r="65" spans="1:36" s="268" customFormat="1" ht="15.75" x14ac:dyDescent="0.25">
      <c r="A65" s="219" t="s">
        <v>87</v>
      </c>
      <c r="B65" s="220"/>
      <c r="C65" s="380"/>
      <c r="D65" s="660" t="s">
        <v>160</v>
      </c>
      <c r="E65" s="660"/>
      <c r="F65" s="660"/>
      <c r="G65" s="660"/>
      <c r="H65" s="660"/>
      <c r="I65" s="388"/>
      <c r="J65" s="388"/>
      <c r="K65" s="396"/>
      <c r="L65" s="390"/>
      <c r="M65" s="391"/>
      <c r="N65" s="391"/>
      <c r="O65" s="391"/>
      <c r="P65" s="391"/>
      <c r="Q65" s="391"/>
      <c r="R65" s="391"/>
      <c r="S65" s="391"/>
      <c r="T65" s="380"/>
      <c r="U65" s="393"/>
      <c r="V65" s="397"/>
      <c r="W65" s="398"/>
      <c r="X65" s="394"/>
      <c r="Y65" s="387"/>
      <c r="Z65" s="387"/>
      <c r="AA65" s="387"/>
      <c r="AB65" s="387"/>
      <c r="AC65" s="387"/>
      <c r="AD65" s="387"/>
      <c r="AE65" s="387"/>
      <c r="AF65" s="387"/>
      <c r="AG65" s="387"/>
      <c r="AH65" s="387"/>
      <c r="AI65" s="387"/>
      <c r="AJ65" s="387"/>
    </row>
    <row r="66" spans="1:36" s="268" customFormat="1" ht="15.75" x14ac:dyDescent="0.25">
      <c r="A66" s="399"/>
      <c r="B66" s="380"/>
      <c r="C66" s="380"/>
      <c r="D66" s="380"/>
      <c r="E66" s="380"/>
      <c r="F66" s="380"/>
      <c r="G66" s="380"/>
      <c r="H66" s="380"/>
      <c r="I66" s="388"/>
      <c r="J66" s="388"/>
      <c r="K66" s="396"/>
      <c r="L66" s="390"/>
      <c r="M66" s="391"/>
      <c r="N66" s="391"/>
      <c r="O66" s="391"/>
      <c r="P66" s="391"/>
      <c r="Q66" s="391"/>
      <c r="R66" s="391"/>
      <c r="S66" s="391"/>
      <c r="T66" s="380"/>
      <c r="U66" s="223"/>
      <c r="V66" s="400" t="s">
        <v>28</v>
      </c>
      <c r="W66" s="401"/>
      <c r="X66" s="394"/>
      <c r="Y66" s="387"/>
      <c r="Z66" s="387"/>
      <c r="AA66" s="387"/>
      <c r="AB66" s="387"/>
      <c r="AC66" s="387"/>
      <c r="AD66" s="387"/>
      <c r="AE66" s="387"/>
      <c r="AF66" s="387"/>
      <c r="AG66" s="387"/>
      <c r="AH66" s="387"/>
      <c r="AI66" s="387"/>
      <c r="AJ66" s="387"/>
    </row>
    <row r="67" spans="1:36" s="268" customFormat="1" ht="15.75" x14ac:dyDescent="0.25">
      <c r="A67" s="399"/>
      <c r="B67" s="380"/>
      <c r="C67" s="380"/>
      <c r="D67" s="380"/>
      <c r="E67" s="380"/>
      <c r="F67" s="380"/>
      <c r="G67" s="380"/>
      <c r="H67" s="380"/>
      <c r="I67" s="393"/>
      <c r="J67" s="388"/>
      <c r="K67" s="389"/>
      <c r="L67" s="390"/>
      <c r="M67" s="391"/>
      <c r="N67" s="391"/>
      <c r="O67" s="391"/>
      <c r="P67" s="391"/>
      <c r="Q67" s="391"/>
      <c r="R67" s="391"/>
      <c r="S67" s="391"/>
      <c r="T67" s="380"/>
      <c r="U67" s="223"/>
      <c r="V67" s="402" t="s">
        <v>76</v>
      </c>
      <c r="W67" s="393"/>
      <c r="X67" s="394"/>
      <c r="Y67" s="387"/>
      <c r="Z67" s="387"/>
      <c r="AA67" s="387"/>
      <c r="AB67" s="387"/>
      <c r="AC67" s="387"/>
      <c r="AD67" s="387"/>
      <c r="AE67" s="387"/>
      <c r="AF67" s="387"/>
      <c r="AG67" s="387"/>
      <c r="AH67" s="387"/>
      <c r="AI67" s="387"/>
      <c r="AJ67" s="387"/>
    </row>
    <row r="68" spans="1:36" s="268" customFormat="1" ht="11.25" customHeight="1" thickBot="1" x14ac:dyDescent="0.3">
      <c r="A68" s="403"/>
      <c r="B68" s="404"/>
      <c r="C68" s="404"/>
      <c r="D68" s="404"/>
      <c r="E68" s="404"/>
      <c r="F68" s="404"/>
      <c r="G68" s="404"/>
      <c r="H68" s="404"/>
      <c r="I68" s="405"/>
      <c r="J68" s="405"/>
      <c r="K68" s="406"/>
      <c r="L68" s="407"/>
      <c r="M68" s="405"/>
      <c r="N68" s="405"/>
      <c r="O68" s="405"/>
      <c r="P68" s="405"/>
      <c r="Q68" s="405"/>
      <c r="R68" s="405"/>
      <c r="S68" s="405"/>
      <c r="T68" s="408"/>
      <c r="U68" s="409"/>
      <c r="V68" s="410"/>
      <c r="W68" s="410"/>
      <c r="X68" s="411"/>
      <c r="Y68" s="387"/>
      <c r="Z68" s="387"/>
      <c r="AA68" s="387"/>
      <c r="AB68" s="387"/>
      <c r="AC68" s="387"/>
      <c r="AD68" s="387"/>
      <c r="AE68" s="387"/>
      <c r="AF68" s="387"/>
      <c r="AG68" s="387"/>
      <c r="AH68" s="387"/>
      <c r="AI68" s="387"/>
      <c r="AJ68" s="387"/>
    </row>
    <row r="69" spans="1:36" s="199" customFormat="1" ht="15.75" x14ac:dyDescent="0.25">
      <c r="A69" s="412"/>
      <c r="B69" s="412"/>
      <c r="C69" s="412"/>
      <c r="D69" s="412"/>
      <c r="E69" s="412"/>
      <c r="F69" s="412"/>
      <c r="G69" s="412"/>
      <c r="H69" s="412"/>
      <c r="I69" s="413"/>
      <c r="J69" s="413"/>
      <c r="K69" s="413"/>
      <c r="L69" s="414"/>
      <c r="M69" s="412"/>
      <c r="N69" s="412"/>
      <c r="O69" s="412"/>
      <c r="P69" s="412"/>
      <c r="Q69" s="412"/>
      <c r="R69" s="412"/>
      <c r="S69" s="412"/>
      <c r="T69" s="412"/>
      <c r="U69" s="413"/>
      <c r="V69" s="413"/>
      <c r="W69" s="413"/>
      <c r="X69" s="413"/>
      <c r="Y69" s="198"/>
      <c r="Z69" s="198"/>
      <c r="AA69" s="198"/>
      <c r="AB69" s="198"/>
      <c r="AC69" s="198"/>
      <c r="AD69" s="198"/>
      <c r="AE69" s="198"/>
      <c r="AF69" s="198"/>
      <c r="AG69" s="198"/>
      <c r="AH69" s="198"/>
      <c r="AI69" s="198"/>
      <c r="AJ69" s="198"/>
    </row>
    <row r="70" spans="1:36" s="199" customFormat="1" ht="15.75" x14ac:dyDescent="0.25">
      <c r="A70" s="412"/>
      <c r="B70" s="412"/>
      <c r="C70" s="412"/>
      <c r="D70" s="412"/>
      <c r="E70" s="412"/>
      <c r="F70" s="412"/>
      <c r="G70" s="412"/>
      <c r="H70" s="412"/>
      <c r="I70" s="413"/>
      <c r="J70" s="413"/>
      <c r="K70" s="413"/>
      <c r="L70" s="414"/>
      <c r="M70" s="412"/>
      <c r="N70" s="412"/>
      <c r="O70" s="412"/>
      <c r="P70" s="412"/>
      <c r="Q70" s="412"/>
      <c r="R70" s="412"/>
      <c r="S70" s="412"/>
      <c r="T70" s="412"/>
      <c r="U70" s="413"/>
      <c r="V70" s="413"/>
      <c r="W70" s="413"/>
      <c r="X70" s="413"/>
      <c r="Y70" s="198"/>
      <c r="Z70" s="198"/>
      <c r="AA70" s="198"/>
      <c r="AB70" s="198"/>
      <c r="AC70" s="198"/>
      <c r="AD70" s="198"/>
      <c r="AE70" s="198"/>
      <c r="AF70" s="198"/>
      <c r="AG70" s="198"/>
      <c r="AH70" s="198"/>
      <c r="AI70" s="198"/>
      <c r="AJ70" s="198"/>
    </row>
    <row r="71" spans="1:36" s="199" customFormat="1" ht="15.75" x14ac:dyDescent="0.25">
      <c r="A71" s="412"/>
      <c r="B71" s="412"/>
      <c r="C71" s="412"/>
      <c r="D71" s="412"/>
      <c r="E71" s="412"/>
      <c r="F71" s="412"/>
      <c r="G71" s="412"/>
      <c r="H71" s="412"/>
      <c r="I71" s="413"/>
      <c r="J71" s="413"/>
      <c r="K71" s="413"/>
      <c r="L71" s="414"/>
      <c r="M71" s="412"/>
      <c r="N71" s="412"/>
      <c r="O71" s="412"/>
      <c r="P71" s="412"/>
      <c r="Q71" s="412"/>
      <c r="R71" s="412"/>
      <c r="S71" s="412"/>
      <c r="T71" s="412"/>
      <c r="U71" s="413"/>
      <c r="V71" s="413"/>
      <c r="W71" s="413"/>
      <c r="X71" s="413"/>
      <c r="Y71" s="198"/>
      <c r="Z71" s="198"/>
      <c r="AA71" s="198"/>
      <c r="AB71" s="198"/>
      <c r="AC71" s="198"/>
      <c r="AD71" s="198"/>
      <c r="AE71" s="198"/>
      <c r="AF71" s="198"/>
      <c r="AG71" s="198"/>
      <c r="AH71" s="198"/>
      <c r="AI71" s="198"/>
      <c r="AJ71" s="198"/>
    </row>
    <row r="72" spans="1:36" ht="15.75" x14ac:dyDescent="0.25">
      <c r="A72" s="412"/>
      <c r="B72" s="412"/>
      <c r="C72" s="412"/>
      <c r="D72" s="412"/>
      <c r="E72" s="412"/>
      <c r="F72" s="412"/>
      <c r="G72" s="412"/>
      <c r="H72" s="412"/>
      <c r="I72" s="413"/>
      <c r="J72" s="413"/>
      <c r="K72" s="413"/>
      <c r="L72" s="414"/>
      <c r="M72" s="412"/>
      <c r="N72" s="412"/>
      <c r="O72" s="412"/>
      <c r="P72" s="412"/>
      <c r="Q72" s="412"/>
      <c r="R72" s="412"/>
      <c r="S72" s="412"/>
      <c r="T72" s="412"/>
      <c r="U72" s="413"/>
      <c r="V72" s="413"/>
      <c r="W72" s="413"/>
      <c r="X72" s="413"/>
    </row>
  </sheetData>
  <mergeCells count="72">
    <mergeCell ref="D64:H64"/>
    <mergeCell ref="D65:H65"/>
    <mergeCell ref="A36:H36"/>
    <mergeCell ref="I36:K36"/>
    <mergeCell ref="L36:S36"/>
    <mergeCell ref="D61:H61"/>
    <mergeCell ref="D62:H62"/>
    <mergeCell ref="D63:H63"/>
    <mergeCell ref="AI34:AI35"/>
    <mergeCell ref="AW34:AW35"/>
    <mergeCell ref="AL34:AL35"/>
    <mergeCell ref="AM34:AM35"/>
    <mergeCell ref="AN34:AN35"/>
    <mergeCell ref="AO34:AO35"/>
    <mergeCell ref="AP34:AP35"/>
    <mergeCell ref="AQ34:AQ35"/>
    <mergeCell ref="AR34:AR35"/>
    <mergeCell ref="AS34:AS35"/>
    <mergeCell ref="AT34:AT35"/>
    <mergeCell ref="AU34:AU35"/>
    <mergeCell ref="AV34:AV35"/>
    <mergeCell ref="Y31:AJ33"/>
    <mergeCell ref="AK31:AK35"/>
    <mergeCell ref="AL31:AW33"/>
    <mergeCell ref="AX31:AX35"/>
    <mergeCell ref="AY31:AY35"/>
    <mergeCell ref="AJ34:AJ35"/>
    <mergeCell ref="Y34:Y35"/>
    <mergeCell ref="Z34:Z35"/>
    <mergeCell ref="AA34:AA35"/>
    <mergeCell ref="AB34:AB35"/>
    <mergeCell ref="AC34:AC35"/>
    <mergeCell ref="AD34:AD35"/>
    <mergeCell ref="AE34:AE35"/>
    <mergeCell ref="AF34:AF35"/>
    <mergeCell ref="AG34:AG35"/>
    <mergeCell ref="AH34:AH35"/>
    <mergeCell ref="A24:I24"/>
    <mergeCell ref="A28:I28"/>
    <mergeCell ref="A29:X29"/>
    <mergeCell ref="A30:X30"/>
    <mergeCell ref="A31:H35"/>
    <mergeCell ref="I31:K35"/>
    <mergeCell ref="L31:V32"/>
    <mergeCell ref="W31:W33"/>
    <mergeCell ref="X31:X35"/>
    <mergeCell ref="L33:S35"/>
    <mergeCell ref="T33:T35"/>
    <mergeCell ref="U33:U35"/>
    <mergeCell ref="V33:V35"/>
    <mergeCell ref="W34:W35"/>
    <mergeCell ref="V23:X23"/>
    <mergeCell ref="A14:I14"/>
    <mergeCell ref="J14:U14"/>
    <mergeCell ref="V14:X14"/>
    <mergeCell ref="A15:I15"/>
    <mergeCell ref="A16:I19"/>
    <mergeCell ref="V16:X16"/>
    <mergeCell ref="V17:X17"/>
    <mergeCell ref="V18:X18"/>
    <mergeCell ref="V19:X19"/>
    <mergeCell ref="A20:I20"/>
    <mergeCell ref="V20:X20"/>
    <mergeCell ref="V21:X21"/>
    <mergeCell ref="K22:U22"/>
    <mergeCell ref="V22:X22"/>
    <mergeCell ref="A13:X13"/>
    <mergeCell ref="V3:X3"/>
    <mergeCell ref="A5:X5"/>
    <mergeCell ref="A6:X6"/>
    <mergeCell ref="A7:I7"/>
    <mergeCell ref="A9:I9"/>
  </mergeCells>
  <pageMargins left="0.85" right="0" top="1" bottom="1.5" header="0.42" footer="0.31"/>
  <pageSetup paperSize="124" scale="35" fitToHeight="0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07273-C952-4889-B7ED-E273470FC21D}">
  <dimension ref="A1:AY59"/>
  <sheetViews>
    <sheetView showGridLines="0" topLeftCell="I31" zoomScale="80" zoomScaleNormal="80" zoomScaleSheetLayoutView="70" zoomScalePageLayoutView="40" workbookViewId="0">
      <selection activeCell="X46" sqref="X46"/>
    </sheetView>
  </sheetViews>
  <sheetFormatPr defaultColWidth="9.140625" defaultRowHeight="12.75" x14ac:dyDescent="0.2"/>
  <cols>
    <col min="1" max="6" width="3.7109375" style="415" customWidth="1"/>
    <col min="7" max="7" width="5.85546875" style="415" bestFit="1" customWidth="1"/>
    <col min="8" max="8" width="3.7109375" style="415" customWidth="1"/>
    <col min="9" max="9" width="2" style="176" customWidth="1"/>
    <col min="10" max="10" width="3.140625" style="176" customWidth="1"/>
    <col min="11" max="11" width="37.140625" style="176" customWidth="1"/>
    <col min="12" max="12" width="4.140625" style="416" customWidth="1"/>
    <col min="13" max="15" width="4" style="415" customWidth="1"/>
    <col min="16" max="16" width="6.5703125" style="415" bestFit="1" customWidth="1"/>
    <col min="17" max="17" width="4" style="415" customWidth="1"/>
    <col min="18" max="18" width="4.7109375" style="415" customWidth="1"/>
    <col min="19" max="19" width="6.7109375" style="415" bestFit="1" customWidth="1"/>
    <col min="20" max="20" width="8.5703125" style="415" customWidth="1"/>
    <col min="21" max="21" width="9.28515625" style="176" customWidth="1"/>
    <col min="22" max="22" width="12.140625" style="176" customWidth="1"/>
    <col min="23" max="23" width="13.7109375" style="176" customWidth="1"/>
    <col min="24" max="24" width="9.5703125" style="176" customWidth="1"/>
    <col min="25" max="25" width="10.28515625" style="175" bestFit="1" customWidth="1"/>
    <col min="26" max="26" width="8" style="175" customWidth="1"/>
    <col min="27" max="29" width="9.28515625" style="175" bestFit="1" customWidth="1"/>
    <col min="30" max="30" width="8" style="175" customWidth="1"/>
    <col min="31" max="31" width="9.28515625" style="175" bestFit="1" customWidth="1"/>
    <col min="32" max="33" width="8" style="175" customWidth="1"/>
    <col min="34" max="35" width="9.28515625" style="175" bestFit="1" customWidth="1"/>
    <col min="36" max="36" width="8" style="175" customWidth="1"/>
    <col min="37" max="37" width="10.28515625" style="176" bestFit="1" customWidth="1"/>
    <col min="38" max="50" width="9.140625" style="176"/>
    <col min="51" max="51" width="10.28515625" style="176" bestFit="1" customWidth="1"/>
    <col min="52" max="16384" width="9.140625" style="176"/>
  </cols>
  <sheetData>
    <row r="1" spans="1:36" ht="14.25" customHeight="1" x14ac:dyDescent="0.2">
      <c r="A1" s="169"/>
      <c r="B1" s="170"/>
      <c r="C1" s="170"/>
      <c r="D1" s="170"/>
      <c r="E1" s="170"/>
      <c r="F1" s="170"/>
      <c r="G1" s="170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2"/>
      <c r="U1" s="171"/>
      <c r="V1" s="173"/>
      <c r="W1" s="171"/>
      <c r="X1" s="174"/>
    </row>
    <row r="2" spans="1:36" ht="18.75" customHeight="1" x14ac:dyDescent="0.4">
      <c r="A2" s="177"/>
      <c r="B2" s="178"/>
      <c r="C2" s="178"/>
      <c r="D2" s="178"/>
      <c r="E2" s="178"/>
      <c r="F2" s="178"/>
      <c r="G2" s="178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80"/>
      <c r="U2" s="179"/>
      <c r="V2" s="181"/>
      <c r="W2" s="179"/>
      <c r="X2" s="182"/>
    </row>
    <row r="3" spans="1:36" ht="24.75" customHeight="1" x14ac:dyDescent="0.2">
      <c r="A3" s="183"/>
      <c r="B3" s="184"/>
      <c r="C3" s="184"/>
      <c r="D3" s="184"/>
      <c r="E3" s="184"/>
      <c r="F3" s="184"/>
      <c r="G3" s="184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6"/>
      <c r="U3" s="185"/>
      <c r="V3" s="562" t="s">
        <v>21</v>
      </c>
      <c r="W3" s="563"/>
      <c r="X3" s="564"/>
    </row>
    <row r="4" spans="1:36" ht="32.25" customHeight="1" thickBot="1" x14ac:dyDescent="0.25">
      <c r="A4" s="187"/>
      <c r="B4" s="188"/>
      <c r="C4" s="188"/>
      <c r="D4" s="188"/>
      <c r="E4" s="188"/>
      <c r="F4" s="188"/>
      <c r="G4" s="188"/>
      <c r="H4" s="189"/>
      <c r="I4" s="189"/>
      <c r="J4" s="189"/>
      <c r="K4" s="190"/>
      <c r="L4" s="189"/>
      <c r="M4" s="189"/>
      <c r="N4" s="189"/>
      <c r="O4" s="189"/>
      <c r="P4" s="189"/>
      <c r="Q4" s="189"/>
      <c r="R4" s="189"/>
      <c r="S4" s="189"/>
      <c r="T4" s="190"/>
      <c r="U4" s="189"/>
      <c r="V4" s="191"/>
      <c r="W4" s="192">
        <v>1</v>
      </c>
      <c r="X4" s="193"/>
    </row>
    <row r="5" spans="1:36" ht="21" customHeight="1" x14ac:dyDescent="0.2">
      <c r="A5" s="565" t="s">
        <v>1</v>
      </c>
      <c r="B5" s="566"/>
      <c r="C5" s="566"/>
      <c r="D5" s="566"/>
      <c r="E5" s="566"/>
      <c r="F5" s="566"/>
      <c r="G5" s="566"/>
      <c r="H5" s="566"/>
      <c r="I5" s="566"/>
      <c r="J5" s="566"/>
      <c r="K5" s="566"/>
      <c r="L5" s="566"/>
      <c r="M5" s="566"/>
      <c r="N5" s="566"/>
      <c r="O5" s="566"/>
      <c r="P5" s="566"/>
      <c r="Q5" s="566"/>
      <c r="R5" s="566"/>
      <c r="S5" s="566"/>
      <c r="T5" s="566"/>
      <c r="U5" s="566"/>
      <c r="V5" s="566"/>
      <c r="W5" s="566"/>
      <c r="X5" s="567"/>
    </row>
    <row r="6" spans="1:36" ht="21" customHeight="1" x14ac:dyDescent="0.2">
      <c r="A6" s="568" t="s">
        <v>836</v>
      </c>
      <c r="B6" s="569"/>
      <c r="C6" s="569"/>
      <c r="D6" s="569"/>
      <c r="E6" s="569"/>
      <c r="F6" s="569"/>
      <c r="G6" s="569"/>
      <c r="H6" s="569"/>
      <c r="I6" s="569"/>
      <c r="J6" s="569"/>
      <c r="K6" s="569"/>
      <c r="L6" s="569"/>
      <c r="M6" s="569"/>
      <c r="N6" s="569"/>
      <c r="O6" s="569"/>
      <c r="P6" s="569"/>
      <c r="Q6" s="569"/>
      <c r="R6" s="569"/>
      <c r="S6" s="569"/>
      <c r="T6" s="569"/>
      <c r="U6" s="569"/>
      <c r="V6" s="569"/>
      <c r="W6" s="569"/>
      <c r="X6" s="570"/>
    </row>
    <row r="7" spans="1:36" s="199" customFormat="1" ht="15" customHeight="1" x14ac:dyDescent="0.25">
      <c r="A7" s="571" t="s">
        <v>45</v>
      </c>
      <c r="B7" s="572"/>
      <c r="C7" s="572"/>
      <c r="D7" s="572"/>
      <c r="E7" s="572"/>
      <c r="F7" s="572"/>
      <c r="G7" s="572"/>
      <c r="H7" s="572"/>
      <c r="I7" s="572"/>
      <c r="J7" s="195" t="s">
        <v>113</v>
      </c>
      <c r="K7" s="196" t="s">
        <v>114</v>
      </c>
      <c r="L7" s="196"/>
      <c r="M7" s="196"/>
      <c r="N7" s="196"/>
      <c r="O7" s="196"/>
      <c r="P7" s="196"/>
      <c r="Q7" s="196"/>
      <c r="R7" s="196"/>
      <c r="S7" s="196"/>
      <c r="T7" s="196"/>
      <c r="U7" s="196"/>
      <c r="V7" s="196"/>
      <c r="W7" s="196"/>
      <c r="X7" s="197"/>
      <c r="Y7" s="198"/>
      <c r="Z7" s="198"/>
      <c r="AA7" s="198"/>
      <c r="AB7" s="198"/>
      <c r="AC7" s="198"/>
      <c r="AD7" s="198"/>
      <c r="AE7" s="198"/>
      <c r="AF7" s="198"/>
      <c r="AG7" s="198"/>
      <c r="AH7" s="198"/>
      <c r="AI7" s="198"/>
      <c r="AJ7" s="198"/>
    </row>
    <row r="8" spans="1:36" s="199" customFormat="1" ht="15" customHeight="1" x14ac:dyDescent="0.25">
      <c r="A8" s="194" t="s">
        <v>115</v>
      </c>
      <c r="B8" s="195"/>
      <c r="C8" s="195"/>
      <c r="D8" s="195"/>
      <c r="E8" s="195"/>
      <c r="F8" s="195"/>
      <c r="G8" s="195"/>
      <c r="H8" s="195"/>
      <c r="I8" s="195"/>
      <c r="J8" s="195" t="s">
        <v>113</v>
      </c>
      <c r="K8" s="200" t="s">
        <v>642</v>
      </c>
      <c r="L8" s="200"/>
      <c r="T8" s="200"/>
      <c r="U8" s="200"/>
      <c r="V8" s="200"/>
      <c r="W8" s="200"/>
      <c r="X8" s="201"/>
      <c r="Y8" s="198"/>
      <c r="Z8" s="198"/>
      <c r="AA8" s="198"/>
      <c r="AB8" s="198"/>
      <c r="AC8" s="198"/>
      <c r="AD8" s="198"/>
      <c r="AE8" s="198"/>
      <c r="AF8" s="198"/>
      <c r="AG8" s="198"/>
      <c r="AH8" s="198"/>
      <c r="AI8" s="198"/>
      <c r="AJ8" s="198"/>
    </row>
    <row r="9" spans="1:36" s="199" customFormat="1" ht="15" customHeight="1" x14ac:dyDescent="0.25">
      <c r="A9" s="573" t="s">
        <v>116</v>
      </c>
      <c r="B9" s="574"/>
      <c r="C9" s="574"/>
      <c r="D9" s="574"/>
      <c r="E9" s="574"/>
      <c r="F9" s="574"/>
      <c r="G9" s="574"/>
      <c r="H9" s="574"/>
      <c r="I9" s="574"/>
      <c r="J9" s="203" t="s">
        <v>113</v>
      </c>
      <c r="K9" s="204" t="s">
        <v>732</v>
      </c>
      <c r="L9" s="196"/>
      <c r="M9" s="204"/>
      <c r="N9" s="204"/>
      <c r="O9" s="204"/>
      <c r="P9" s="204"/>
      <c r="Q9" s="204"/>
      <c r="R9" s="204"/>
      <c r="S9" s="204"/>
      <c r="T9" s="196"/>
      <c r="U9" s="196"/>
      <c r="V9" s="196"/>
      <c r="W9" s="196"/>
      <c r="X9" s="197"/>
      <c r="Y9" s="198"/>
      <c r="Z9" s="198"/>
      <c r="AA9" s="198"/>
      <c r="AB9" s="198"/>
      <c r="AC9" s="198"/>
      <c r="AD9" s="198"/>
      <c r="AE9" s="198"/>
      <c r="AF9" s="198"/>
      <c r="AG9" s="198"/>
      <c r="AH9" s="198"/>
      <c r="AI9" s="198"/>
      <c r="AJ9" s="198"/>
    </row>
    <row r="10" spans="1:36" s="199" customFormat="1" ht="14.25" customHeight="1" x14ac:dyDescent="0.25">
      <c r="A10" s="202" t="s">
        <v>117</v>
      </c>
      <c r="B10" s="203"/>
      <c r="C10" s="205"/>
      <c r="D10" s="205"/>
      <c r="E10" s="205"/>
      <c r="F10" s="205"/>
      <c r="G10" s="205"/>
      <c r="H10" s="205"/>
      <c r="I10" s="203"/>
      <c r="J10" s="195" t="s">
        <v>113</v>
      </c>
      <c r="K10" s="206" t="s">
        <v>616</v>
      </c>
      <c r="L10" s="196"/>
      <c r="M10" s="196"/>
      <c r="N10" s="196"/>
      <c r="O10" s="196"/>
      <c r="P10" s="196"/>
      <c r="Q10" s="196"/>
      <c r="R10" s="196"/>
      <c r="S10" s="196"/>
      <c r="T10" s="207"/>
      <c r="U10" s="196"/>
      <c r="V10" s="196"/>
      <c r="W10" s="196"/>
      <c r="X10" s="197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</row>
    <row r="11" spans="1:36" s="199" customFormat="1" ht="14.25" customHeight="1" x14ac:dyDescent="0.25">
      <c r="A11" s="208" t="s">
        <v>118</v>
      </c>
      <c r="B11" s="209"/>
      <c r="C11" s="210"/>
      <c r="D11" s="210"/>
      <c r="E11" s="210"/>
      <c r="F11" s="210"/>
      <c r="G11" s="210"/>
      <c r="H11" s="210"/>
      <c r="I11" s="209"/>
      <c r="J11" s="195" t="s">
        <v>119</v>
      </c>
      <c r="K11" s="206" t="s">
        <v>114</v>
      </c>
      <c r="L11" s="211"/>
      <c r="M11" s="211"/>
      <c r="N11" s="211"/>
      <c r="O11" s="211"/>
      <c r="P11" s="211"/>
      <c r="Q11" s="211"/>
      <c r="R11" s="211"/>
      <c r="S11" s="211"/>
      <c r="T11" s="212"/>
      <c r="U11" s="211"/>
      <c r="V11" s="211"/>
      <c r="W11" s="211"/>
      <c r="X11" s="213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</row>
    <row r="12" spans="1:36" s="199" customFormat="1" ht="15.75" x14ac:dyDescent="0.25">
      <c r="A12" s="208" t="s">
        <v>120</v>
      </c>
      <c r="B12" s="209"/>
      <c r="C12" s="210"/>
      <c r="D12" s="210"/>
      <c r="E12" s="210"/>
      <c r="F12" s="210"/>
      <c r="G12" s="210"/>
      <c r="H12" s="210"/>
      <c r="I12" s="209"/>
      <c r="J12" s="195" t="s">
        <v>113</v>
      </c>
      <c r="K12" s="214" t="s">
        <v>733</v>
      </c>
      <c r="L12" s="211"/>
      <c r="M12" s="211"/>
      <c r="N12" s="211"/>
      <c r="O12" s="211"/>
      <c r="P12" s="211"/>
      <c r="Q12" s="211"/>
      <c r="R12" s="211"/>
      <c r="S12" s="211"/>
      <c r="T12" s="212"/>
      <c r="U12" s="211"/>
      <c r="V12" s="211"/>
      <c r="W12" s="211"/>
      <c r="X12" s="213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</row>
    <row r="13" spans="1:36" s="199" customFormat="1" ht="18" customHeight="1" x14ac:dyDescent="0.25">
      <c r="A13" s="559" t="s">
        <v>121</v>
      </c>
      <c r="B13" s="560"/>
      <c r="C13" s="560"/>
      <c r="D13" s="560"/>
      <c r="E13" s="560"/>
      <c r="F13" s="560"/>
      <c r="G13" s="560"/>
      <c r="H13" s="560"/>
      <c r="I13" s="560"/>
      <c r="J13" s="560"/>
      <c r="K13" s="560"/>
      <c r="L13" s="560"/>
      <c r="M13" s="560"/>
      <c r="N13" s="560"/>
      <c r="O13" s="560"/>
      <c r="P13" s="560"/>
      <c r="Q13" s="560"/>
      <c r="R13" s="560"/>
      <c r="S13" s="560"/>
      <c r="T13" s="560"/>
      <c r="U13" s="560"/>
      <c r="V13" s="560"/>
      <c r="W13" s="560"/>
      <c r="X13" s="561"/>
    </row>
    <row r="14" spans="1:36" s="199" customFormat="1" ht="15.75" x14ac:dyDescent="0.25">
      <c r="A14" s="578" t="s">
        <v>122</v>
      </c>
      <c r="B14" s="579"/>
      <c r="C14" s="579"/>
      <c r="D14" s="579"/>
      <c r="E14" s="579"/>
      <c r="F14" s="579"/>
      <c r="G14" s="579"/>
      <c r="H14" s="579"/>
      <c r="I14" s="580"/>
      <c r="J14" s="581" t="s">
        <v>123</v>
      </c>
      <c r="K14" s="579"/>
      <c r="L14" s="579"/>
      <c r="M14" s="579"/>
      <c r="N14" s="579"/>
      <c r="O14" s="579"/>
      <c r="P14" s="579"/>
      <c r="Q14" s="579"/>
      <c r="R14" s="579"/>
      <c r="S14" s="579"/>
      <c r="T14" s="579"/>
      <c r="U14" s="579"/>
      <c r="V14" s="581" t="s">
        <v>124</v>
      </c>
      <c r="W14" s="579"/>
      <c r="X14" s="582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</row>
    <row r="15" spans="1:36" s="199" customFormat="1" ht="17.25" customHeight="1" x14ac:dyDescent="0.25">
      <c r="A15" s="573" t="s">
        <v>125</v>
      </c>
      <c r="B15" s="574"/>
      <c r="C15" s="574"/>
      <c r="D15" s="574"/>
      <c r="E15" s="574"/>
      <c r="F15" s="574"/>
      <c r="G15" s="574"/>
      <c r="H15" s="574"/>
      <c r="I15" s="583"/>
      <c r="J15" s="203" t="s">
        <v>119</v>
      </c>
      <c r="K15" s="200"/>
      <c r="L15" s="196"/>
      <c r="M15" s="196"/>
      <c r="N15" s="196"/>
      <c r="O15" s="196"/>
      <c r="P15" s="196"/>
      <c r="Q15" s="196"/>
      <c r="R15" s="196"/>
      <c r="S15" s="196"/>
      <c r="T15" s="207"/>
      <c r="U15" s="196"/>
      <c r="V15" s="215"/>
      <c r="W15" s="196"/>
      <c r="X15" s="197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</row>
    <row r="16" spans="1:36" s="199" customFormat="1" ht="15.75" customHeight="1" x14ac:dyDescent="0.25">
      <c r="A16" s="571" t="s">
        <v>126</v>
      </c>
      <c r="B16" s="572"/>
      <c r="C16" s="572"/>
      <c r="D16" s="572"/>
      <c r="E16" s="572"/>
      <c r="F16" s="572"/>
      <c r="G16" s="572"/>
      <c r="H16" s="572"/>
      <c r="I16" s="584"/>
      <c r="J16" s="216" t="s">
        <v>119</v>
      </c>
      <c r="K16" s="217" t="s">
        <v>127</v>
      </c>
      <c r="L16" s="217"/>
      <c r="M16" s="217"/>
      <c r="N16" s="217"/>
      <c r="O16" s="217"/>
      <c r="P16" s="217"/>
      <c r="Q16" s="217"/>
      <c r="R16" s="217"/>
      <c r="S16" s="217"/>
      <c r="T16" s="218"/>
      <c r="U16" s="217"/>
      <c r="V16" s="591"/>
      <c r="W16" s="592"/>
      <c r="X16" s="593"/>
      <c r="Y16" s="198"/>
      <c r="Z16" s="198"/>
      <c r="AA16" s="198"/>
      <c r="AB16" s="198"/>
      <c r="AC16" s="198"/>
      <c r="AD16" s="198"/>
      <c r="AE16" s="198"/>
      <c r="AF16" s="198"/>
      <c r="AG16" s="198"/>
      <c r="AH16" s="198"/>
      <c r="AI16" s="198"/>
      <c r="AJ16" s="198"/>
    </row>
    <row r="17" spans="1:51" s="199" customFormat="1" ht="15.75" customHeight="1" x14ac:dyDescent="0.25">
      <c r="A17" s="585"/>
      <c r="B17" s="586"/>
      <c r="C17" s="586"/>
      <c r="D17" s="586"/>
      <c r="E17" s="586"/>
      <c r="F17" s="586"/>
      <c r="G17" s="586"/>
      <c r="H17" s="586"/>
      <c r="I17" s="587"/>
      <c r="J17" s="222" t="s">
        <v>119</v>
      </c>
      <c r="K17" s="223" t="s">
        <v>128</v>
      </c>
      <c r="L17" s="223"/>
      <c r="M17" s="223"/>
      <c r="N17" s="223"/>
      <c r="O17" s="223"/>
      <c r="P17" s="223"/>
      <c r="Q17" s="223"/>
      <c r="R17" s="223"/>
      <c r="S17" s="223"/>
      <c r="T17" s="224"/>
      <c r="U17" s="223"/>
      <c r="V17" s="594"/>
      <c r="W17" s="595"/>
      <c r="X17" s="596"/>
      <c r="Y17" s="198"/>
      <c r="Z17" s="198"/>
      <c r="AA17" s="198"/>
      <c r="AB17" s="198"/>
      <c r="AC17" s="198"/>
      <c r="AD17" s="198"/>
      <c r="AE17" s="198"/>
      <c r="AF17" s="198"/>
      <c r="AG17" s="198"/>
      <c r="AH17" s="198"/>
      <c r="AI17" s="198"/>
      <c r="AJ17" s="198"/>
    </row>
    <row r="18" spans="1:51" s="199" customFormat="1" ht="13.5" customHeight="1" x14ac:dyDescent="0.25">
      <c r="A18" s="585"/>
      <c r="B18" s="586"/>
      <c r="C18" s="586"/>
      <c r="D18" s="586"/>
      <c r="E18" s="586"/>
      <c r="F18" s="586"/>
      <c r="G18" s="586"/>
      <c r="H18" s="586"/>
      <c r="I18" s="587"/>
      <c r="J18" s="222" t="s">
        <v>119</v>
      </c>
      <c r="K18" s="223" t="s">
        <v>129</v>
      </c>
      <c r="L18" s="223"/>
      <c r="M18" s="223"/>
      <c r="N18" s="223"/>
      <c r="O18" s="223"/>
      <c r="P18" s="223"/>
      <c r="Q18" s="223"/>
      <c r="R18" s="223"/>
      <c r="S18" s="223"/>
      <c r="T18" s="224"/>
      <c r="U18" s="223"/>
      <c r="V18" s="594"/>
      <c r="W18" s="595"/>
      <c r="X18" s="596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</row>
    <row r="19" spans="1:51" s="199" customFormat="1" ht="15.75" customHeight="1" x14ac:dyDescent="0.25">
      <c r="A19" s="588"/>
      <c r="B19" s="589"/>
      <c r="C19" s="589"/>
      <c r="D19" s="589"/>
      <c r="E19" s="589"/>
      <c r="F19" s="589"/>
      <c r="G19" s="589"/>
      <c r="H19" s="589"/>
      <c r="I19" s="590"/>
      <c r="J19" s="226" t="s">
        <v>119</v>
      </c>
      <c r="K19" s="211" t="s">
        <v>130</v>
      </c>
      <c r="L19" s="211"/>
      <c r="M19" s="211"/>
      <c r="N19" s="211"/>
      <c r="O19" s="211"/>
      <c r="P19" s="211"/>
      <c r="Q19" s="211"/>
      <c r="R19" s="211"/>
      <c r="S19" s="211"/>
      <c r="T19" s="212"/>
      <c r="U19" s="211"/>
      <c r="V19" s="597"/>
      <c r="W19" s="598"/>
      <c r="X19" s="599"/>
      <c r="Y19" s="198"/>
      <c r="Z19" s="198"/>
      <c r="AA19" s="198"/>
      <c r="AB19" s="198"/>
      <c r="AC19" s="198"/>
      <c r="AD19" s="198"/>
      <c r="AE19" s="198"/>
      <c r="AF19" s="198"/>
      <c r="AG19" s="198"/>
      <c r="AH19" s="198"/>
      <c r="AI19" s="198"/>
      <c r="AJ19" s="198"/>
    </row>
    <row r="20" spans="1:51" s="199" customFormat="1" ht="15.75" customHeight="1" x14ac:dyDescent="0.25">
      <c r="A20" s="585" t="s">
        <v>131</v>
      </c>
      <c r="B20" s="586"/>
      <c r="C20" s="586"/>
      <c r="D20" s="586"/>
      <c r="E20" s="586"/>
      <c r="F20" s="586"/>
      <c r="G20" s="586"/>
      <c r="H20" s="586"/>
      <c r="I20" s="587"/>
      <c r="J20" s="220" t="s">
        <v>119</v>
      </c>
      <c r="K20" s="200" t="s">
        <v>731</v>
      </c>
      <c r="L20" s="196"/>
      <c r="M20" s="196"/>
      <c r="N20" s="196"/>
      <c r="O20" s="196"/>
      <c r="P20" s="196"/>
      <c r="Q20" s="196"/>
      <c r="R20" s="196"/>
      <c r="S20" s="196"/>
      <c r="T20" s="207"/>
      <c r="U20" s="196"/>
      <c r="V20" s="575"/>
      <c r="W20" s="576"/>
      <c r="X20" s="577"/>
      <c r="Y20" s="198"/>
      <c r="Z20" s="198"/>
      <c r="AA20" s="198"/>
      <c r="AB20" s="198"/>
      <c r="AC20" s="198"/>
      <c r="AD20" s="198"/>
      <c r="AE20" s="198"/>
      <c r="AF20" s="198"/>
      <c r="AG20" s="198"/>
      <c r="AH20" s="198"/>
      <c r="AI20" s="198"/>
      <c r="AJ20" s="198"/>
    </row>
    <row r="21" spans="1:51" s="199" customFormat="1" ht="15.75" customHeight="1" x14ac:dyDescent="0.25">
      <c r="A21" s="219"/>
      <c r="B21" s="220"/>
      <c r="C21" s="220"/>
      <c r="D21" s="220"/>
      <c r="E21" s="220"/>
      <c r="F21" s="220"/>
      <c r="G21" s="220"/>
      <c r="H21" s="220"/>
      <c r="I21" s="221"/>
      <c r="J21" s="229"/>
      <c r="K21" s="200"/>
      <c r="L21" s="196"/>
      <c r="M21" s="196"/>
      <c r="N21" s="196"/>
      <c r="O21" s="196"/>
      <c r="P21" s="196"/>
      <c r="Q21" s="196"/>
      <c r="R21" s="196"/>
      <c r="S21" s="196"/>
      <c r="T21" s="207"/>
      <c r="U21" s="196"/>
      <c r="V21" s="575"/>
      <c r="W21" s="576"/>
      <c r="X21" s="577"/>
      <c r="Y21" s="198"/>
      <c r="Z21" s="198"/>
      <c r="AA21" s="198"/>
      <c r="AB21" s="198"/>
      <c r="AC21" s="198"/>
      <c r="AD21" s="198"/>
      <c r="AE21" s="198"/>
      <c r="AF21" s="198"/>
      <c r="AG21" s="198"/>
      <c r="AH21" s="198"/>
      <c r="AI21" s="198"/>
      <c r="AJ21" s="198"/>
    </row>
    <row r="22" spans="1:51" s="199" customFormat="1" ht="15.75" x14ac:dyDescent="0.25">
      <c r="A22" s="219"/>
      <c r="B22" s="220"/>
      <c r="C22" s="220"/>
      <c r="D22" s="220"/>
      <c r="E22" s="220"/>
      <c r="F22" s="220"/>
      <c r="G22" s="220"/>
      <c r="H22" s="220"/>
      <c r="I22" s="221"/>
      <c r="J22" s="229"/>
      <c r="K22" s="600"/>
      <c r="L22" s="600"/>
      <c r="M22" s="600"/>
      <c r="N22" s="600"/>
      <c r="O22" s="600"/>
      <c r="P22" s="600"/>
      <c r="Q22" s="600"/>
      <c r="R22" s="600"/>
      <c r="S22" s="600"/>
      <c r="T22" s="600"/>
      <c r="U22" s="601"/>
      <c r="V22" s="575"/>
      <c r="W22" s="576"/>
      <c r="X22" s="577"/>
      <c r="Y22" s="198"/>
      <c r="Z22" s="198"/>
      <c r="AA22" s="198"/>
      <c r="AB22" s="198"/>
      <c r="AC22" s="198"/>
      <c r="AD22" s="198"/>
      <c r="AE22" s="198"/>
      <c r="AF22" s="198"/>
      <c r="AG22" s="198"/>
      <c r="AH22" s="198"/>
      <c r="AI22" s="198"/>
      <c r="AJ22" s="198"/>
    </row>
    <row r="23" spans="1:51" s="199" customFormat="1" ht="15.75" customHeight="1" x14ac:dyDescent="0.25">
      <c r="A23" s="219"/>
      <c r="B23" s="220"/>
      <c r="C23" s="220"/>
      <c r="D23" s="220"/>
      <c r="E23" s="220"/>
      <c r="F23" s="220"/>
      <c r="G23" s="220"/>
      <c r="H23" s="220"/>
      <c r="I23" s="221"/>
      <c r="J23" s="229"/>
      <c r="K23" s="204"/>
      <c r="L23" s="211"/>
      <c r="M23" s="211"/>
      <c r="N23" s="211"/>
      <c r="O23" s="211"/>
      <c r="P23" s="211"/>
      <c r="Q23" s="211"/>
      <c r="R23" s="211"/>
      <c r="S23" s="211"/>
      <c r="T23" s="212"/>
      <c r="U23" s="211"/>
      <c r="V23" s="575"/>
      <c r="W23" s="576"/>
      <c r="X23" s="577"/>
      <c r="Y23" s="198"/>
      <c r="Z23" s="198"/>
      <c r="AA23" s="198"/>
      <c r="AB23" s="198"/>
      <c r="AC23" s="198"/>
      <c r="AD23" s="198"/>
      <c r="AE23" s="198"/>
      <c r="AF23" s="198"/>
      <c r="AG23" s="198"/>
      <c r="AH23" s="198"/>
      <c r="AI23" s="198"/>
      <c r="AJ23" s="198"/>
    </row>
    <row r="24" spans="1:51" s="199" customFormat="1" ht="16.5" customHeight="1" x14ac:dyDescent="0.25">
      <c r="A24" s="573" t="s">
        <v>132</v>
      </c>
      <c r="B24" s="574"/>
      <c r="C24" s="574"/>
      <c r="D24" s="574"/>
      <c r="E24" s="574"/>
      <c r="F24" s="574"/>
      <c r="G24" s="574"/>
      <c r="H24" s="574"/>
      <c r="I24" s="583"/>
      <c r="J24" s="203" t="s">
        <v>119</v>
      </c>
      <c r="K24" s="200"/>
      <c r="L24" s="196"/>
      <c r="M24" s="196"/>
      <c r="N24" s="196"/>
      <c r="O24" s="196"/>
      <c r="P24" s="196"/>
      <c r="Q24" s="196"/>
      <c r="R24" s="196"/>
      <c r="S24" s="196"/>
      <c r="T24" s="207"/>
      <c r="U24" s="196"/>
      <c r="V24" s="230"/>
      <c r="W24" s="196"/>
      <c r="X24" s="197"/>
      <c r="Y24" s="198"/>
      <c r="Z24" s="198"/>
      <c r="AA24" s="198"/>
      <c r="AB24" s="198"/>
      <c r="AC24" s="198"/>
      <c r="AD24" s="198"/>
      <c r="AE24" s="198"/>
      <c r="AF24" s="198"/>
      <c r="AG24" s="198"/>
      <c r="AH24" s="198"/>
      <c r="AI24" s="198"/>
      <c r="AJ24" s="198"/>
    </row>
    <row r="25" spans="1:51" s="199" customFormat="1" ht="16.5" customHeight="1" x14ac:dyDescent="0.25">
      <c r="A25" s="208"/>
      <c r="B25" s="209"/>
      <c r="C25" s="209"/>
      <c r="D25" s="209"/>
      <c r="E25" s="209"/>
      <c r="F25" s="209"/>
      <c r="G25" s="209"/>
      <c r="H25" s="209"/>
      <c r="I25" s="225"/>
      <c r="J25" s="209"/>
      <c r="K25" s="200"/>
      <c r="L25" s="211"/>
      <c r="M25" s="211"/>
      <c r="N25" s="211"/>
      <c r="O25" s="211"/>
      <c r="P25" s="211"/>
      <c r="Q25" s="211"/>
      <c r="R25" s="211"/>
      <c r="S25" s="211"/>
      <c r="T25" s="212"/>
      <c r="U25" s="211"/>
      <c r="V25" s="230"/>
      <c r="W25" s="211"/>
      <c r="X25" s="213"/>
      <c r="Y25" s="198"/>
      <c r="Z25" s="198"/>
      <c r="AA25" s="198"/>
      <c r="AB25" s="198"/>
      <c r="AC25" s="198"/>
      <c r="AD25" s="198"/>
      <c r="AE25" s="198"/>
      <c r="AF25" s="198"/>
      <c r="AG25" s="198"/>
      <c r="AH25" s="198"/>
      <c r="AI25" s="198"/>
      <c r="AJ25" s="198"/>
    </row>
    <row r="26" spans="1:51" s="199" customFormat="1" ht="16.5" customHeight="1" x14ac:dyDescent="0.25">
      <c r="A26" s="208"/>
      <c r="B26" s="209"/>
      <c r="C26" s="209"/>
      <c r="D26" s="209"/>
      <c r="E26" s="209"/>
      <c r="F26" s="209"/>
      <c r="G26" s="209"/>
      <c r="H26" s="209"/>
      <c r="I26" s="225"/>
      <c r="J26" s="209"/>
      <c r="K26" s="200"/>
      <c r="L26" s="211"/>
      <c r="M26" s="211"/>
      <c r="N26" s="211"/>
      <c r="O26" s="211"/>
      <c r="P26" s="211"/>
      <c r="Q26" s="211"/>
      <c r="R26" s="211"/>
      <c r="S26" s="211"/>
      <c r="T26" s="212"/>
      <c r="U26" s="211"/>
      <c r="V26" s="230"/>
      <c r="W26" s="211"/>
      <c r="X26" s="213"/>
      <c r="Y26" s="198"/>
      <c r="Z26" s="198"/>
      <c r="AA26" s="198"/>
      <c r="AB26" s="198"/>
      <c r="AC26" s="198"/>
      <c r="AD26" s="198"/>
      <c r="AE26" s="198"/>
      <c r="AF26" s="198"/>
      <c r="AG26" s="198"/>
      <c r="AH26" s="198"/>
      <c r="AI26" s="198"/>
      <c r="AJ26" s="198"/>
    </row>
    <row r="27" spans="1:51" s="199" customFormat="1" ht="16.5" customHeight="1" x14ac:dyDescent="0.25">
      <c r="A27" s="208"/>
      <c r="B27" s="209"/>
      <c r="C27" s="209"/>
      <c r="D27" s="209"/>
      <c r="E27" s="209"/>
      <c r="F27" s="209"/>
      <c r="G27" s="209"/>
      <c r="H27" s="209"/>
      <c r="I27" s="225"/>
      <c r="J27" s="209"/>
      <c r="K27" s="200"/>
      <c r="L27" s="211"/>
      <c r="M27" s="211"/>
      <c r="N27" s="211"/>
      <c r="O27" s="211"/>
      <c r="P27" s="211"/>
      <c r="Q27" s="211"/>
      <c r="R27" s="211"/>
      <c r="S27" s="211"/>
      <c r="T27" s="212"/>
      <c r="U27" s="211"/>
      <c r="V27" s="231"/>
      <c r="W27" s="211"/>
      <c r="X27" s="213"/>
      <c r="Y27" s="198"/>
      <c r="Z27" s="198"/>
      <c r="AA27" s="198"/>
      <c r="AB27" s="198"/>
      <c r="AC27" s="198"/>
      <c r="AD27" s="198"/>
      <c r="AE27" s="198"/>
      <c r="AF27" s="198"/>
      <c r="AG27" s="198"/>
      <c r="AH27" s="198"/>
      <c r="AI27" s="198"/>
      <c r="AJ27" s="198"/>
    </row>
    <row r="28" spans="1:51" s="199" customFormat="1" ht="18.75" customHeight="1" x14ac:dyDescent="0.25">
      <c r="A28" s="602" t="s">
        <v>133</v>
      </c>
      <c r="B28" s="603"/>
      <c r="C28" s="603"/>
      <c r="D28" s="603"/>
      <c r="E28" s="603"/>
      <c r="F28" s="603"/>
      <c r="G28" s="603"/>
      <c r="H28" s="603"/>
      <c r="I28" s="604"/>
      <c r="J28" s="209" t="s">
        <v>119</v>
      </c>
      <c r="K28" s="200"/>
      <c r="L28" s="211"/>
      <c r="M28" s="211"/>
      <c r="N28" s="211"/>
      <c r="O28" s="211"/>
      <c r="P28" s="211"/>
      <c r="Q28" s="211"/>
      <c r="R28" s="211"/>
      <c r="S28" s="211"/>
      <c r="T28" s="212"/>
      <c r="U28" s="211"/>
      <c r="V28" s="200"/>
      <c r="W28" s="232"/>
      <c r="X28" s="233"/>
      <c r="Y28" s="198"/>
      <c r="Z28" s="198"/>
      <c r="AA28" s="198"/>
      <c r="AB28" s="198"/>
      <c r="AC28" s="198"/>
      <c r="AD28" s="198"/>
      <c r="AE28" s="198"/>
      <c r="AF28" s="198"/>
      <c r="AG28" s="198"/>
      <c r="AH28" s="198"/>
      <c r="AI28" s="198"/>
      <c r="AJ28" s="198"/>
    </row>
    <row r="29" spans="1:51" s="199" customFormat="1" ht="15.75" x14ac:dyDescent="0.25">
      <c r="A29" s="605" t="s">
        <v>134</v>
      </c>
      <c r="B29" s="606"/>
      <c r="C29" s="606"/>
      <c r="D29" s="606"/>
      <c r="E29" s="606"/>
      <c r="F29" s="606"/>
      <c r="G29" s="606"/>
      <c r="H29" s="606"/>
      <c r="I29" s="606"/>
      <c r="J29" s="606"/>
      <c r="K29" s="606"/>
      <c r="L29" s="606"/>
      <c r="M29" s="606"/>
      <c r="N29" s="606"/>
      <c r="O29" s="606"/>
      <c r="P29" s="606"/>
      <c r="Q29" s="606"/>
      <c r="R29" s="606"/>
      <c r="S29" s="606"/>
      <c r="T29" s="606"/>
      <c r="U29" s="606"/>
      <c r="V29" s="606"/>
      <c r="W29" s="606"/>
      <c r="X29" s="607"/>
    </row>
    <row r="30" spans="1:51" s="199" customFormat="1" ht="16.5" thickBot="1" x14ac:dyDescent="0.3">
      <c r="A30" s="608" t="s">
        <v>135</v>
      </c>
      <c r="B30" s="609"/>
      <c r="C30" s="609"/>
      <c r="D30" s="609"/>
      <c r="E30" s="609"/>
      <c r="F30" s="609"/>
      <c r="G30" s="609"/>
      <c r="H30" s="609"/>
      <c r="I30" s="609"/>
      <c r="J30" s="609"/>
      <c r="K30" s="609"/>
      <c r="L30" s="609"/>
      <c r="M30" s="609"/>
      <c r="N30" s="609"/>
      <c r="O30" s="609"/>
      <c r="P30" s="609"/>
      <c r="Q30" s="609"/>
      <c r="R30" s="609"/>
      <c r="S30" s="609"/>
      <c r="T30" s="609"/>
      <c r="U30" s="609"/>
      <c r="V30" s="609"/>
      <c r="W30" s="609"/>
      <c r="X30" s="610"/>
    </row>
    <row r="31" spans="1:51" s="199" customFormat="1" ht="10.5" customHeight="1" x14ac:dyDescent="0.25">
      <c r="A31" s="611" t="s">
        <v>136</v>
      </c>
      <c r="B31" s="612"/>
      <c r="C31" s="612"/>
      <c r="D31" s="612"/>
      <c r="E31" s="612"/>
      <c r="F31" s="612"/>
      <c r="G31" s="612"/>
      <c r="H31" s="613"/>
      <c r="I31" s="620" t="s">
        <v>137</v>
      </c>
      <c r="J31" s="612"/>
      <c r="K31" s="613"/>
      <c r="L31" s="620" t="s">
        <v>138</v>
      </c>
      <c r="M31" s="612"/>
      <c r="N31" s="612"/>
      <c r="O31" s="612"/>
      <c r="P31" s="612"/>
      <c r="Q31" s="612"/>
      <c r="R31" s="612"/>
      <c r="S31" s="612"/>
      <c r="T31" s="612"/>
      <c r="U31" s="612"/>
      <c r="V31" s="613"/>
      <c r="W31" s="623" t="s">
        <v>139</v>
      </c>
      <c r="X31" s="625" t="s">
        <v>140</v>
      </c>
      <c r="Y31" s="636" t="s">
        <v>567</v>
      </c>
      <c r="Z31" s="636"/>
      <c r="AA31" s="636"/>
      <c r="AB31" s="636"/>
      <c r="AC31" s="636"/>
      <c r="AD31" s="636"/>
      <c r="AE31" s="636"/>
      <c r="AF31" s="636"/>
      <c r="AG31" s="636"/>
      <c r="AH31" s="636"/>
      <c r="AI31" s="636"/>
      <c r="AJ31" s="637"/>
      <c r="AK31" s="642" t="s">
        <v>139</v>
      </c>
      <c r="AL31" s="645" t="s">
        <v>568</v>
      </c>
      <c r="AM31" s="636"/>
      <c r="AN31" s="636"/>
      <c r="AO31" s="636"/>
      <c r="AP31" s="636"/>
      <c r="AQ31" s="636"/>
      <c r="AR31" s="636"/>
      <c r="AS31" s="636"/>
      <c r="AT31" s="636"/>
      <c r="AU31" s="636"/>
      <c r="AV31" s="636"/>
      <c r="AW31" s="637"/>
      <c r="AX31" s="642" t="s">
        <v>139</v>
      </c>
      <c r="AY31" s="648" t="s">
        <v>141</v>
      </c>
    </row>
    <row r="32" spans="1:51" s="199" customFormat="1" ht="6.75" customHeight="1" x14ac:dyDescent="0.25">
      <c r="A32" s="614"/>
      <c r="B32" s="615"/>
      <c r="C32" s="615"/>
      <c r="D32" s="615"/>
      <c r="E32" s="615"/>
      <c r="F32" s="615"/>
      <c r="G32" s="615"/>
      <c r="H32" s="616"/>
      <c r="I32" s="621"/>
      <c r="J32" s="615"/>
      <c r="K32" s="616"/>
      <c r="L32" s="621"/>
      <c r="M32" s="615"/>
      <c r="N32" s="615"/>
      <c r="O32" s="615"/>
      <c r="P32" s="615"/>
      <c r="Q32" s="615"/>
      <c r="R32" s="615"/>
      <c r="S32" s="615"/>
      <c r="T32" s="615"/>
      <c r="U32" s="615"/>
      <c r="V32" s="616"/>
      <c r="W32" s="624"/>
      <c r="X32" s="626"/>
      <c r="Y32" s="638"/>
      <c r="Z32" s="638"/>
      <c r="AA32" s="638"/>
      <c r="AB32" s="638"/>
      <c r="AC32" s="638"/>
      <c r="AD32" s="638"/>
      <c r="AE32" s="638"/>
      <c r="AF32" s="638"/>
      <c r="AG32" s="638"/>
      <c r="AH32" s="638"/>
      <c r="AI32" s="638"/>
      <c r="AJ32" s="639"/>
      <c r="AK32" s="643"/>
      <c r="AL32" s="646"/>
      <c r="AM32" s="638"/>
      <c r="AN32" s="638"/>
      <c r="AO32" s="638"/>
      <c r="AP32" s="638"/>
      <c r="AQ32" s="638"/>
      <c r="AR32" s="638"/>
      <c r="AS32" s="638"/>
      <c r="AT32" s="638"/>
      <c r="AU32" s="638"/>
      <c r="AV32" s="638"/>
      <c r="AW32" s="639"/>
      <c r="AX32" s="643"/>
      <c r="AY32" s="649"/>
    </row>
    <row r="33" spans="1:51" s="199" customFormat="1" ht="10.5" customHeight="1" thickBot="1" x14ac:dyDescent="0.3">
      <c r="A33" s="614"/>
      <c r="B33" s="615"/>
      <c r="C33" s="615"/>
      <c r="D33" s="615"/>
      <c r="E33" s="615"/>
      <c r="F33" s="615"/>
      <c r="G33" s="615"/>
      <c r="H33" s="616"/>
      <c r="I33" s="621"/>
      <c r="J33" s="615"/>
      <c r="K33" s="616"/>
      <c r="L33" s="628" t="s">
        <v>79</v>
      </c>
      <c r="M33" s="629"/>
      <c r="N33" s="629"/>
      <c r="O33" s="629"/>
      <c r="P33" s="629"/>
      <c r="Q33" s="629"/>
      <c r="R33" s="629"/>
      <c r="S33" s="630"/>
      <c r="T33" s="631" t="s">
        <v>80</v>
      </c>
      <c r="U33" s="631" t="s">
        <v>81</v>
      </c>
      <c r="V33" s="631" t="s">
        <v>82</v>
      </c>
      <c r="W33" s="624"/>
      <c r="X33" s="626"/>
      <c r="Y33" s="640"/>
      <c r="Z33" s="640"/>
      <c r="AA33" s="640"/>
      <c r="AB33" s="640"/>
      <c r="AC33" s="640"/>
      <c r="AD33" s="640"/>
      <c r="AE33" s="640"/>
      <c r="AF33" s="640"/>
      <c r="AG33" s="640"/>
      <c r="AH33" s="640"/>
      <c r="AI33" s="640"/>
      <c r="AJ33" s="641"/>
      <c r="AK33" s="643"/>
      <c r="AL33" s="647"/>
      <c r="AM33" s="640"/>
      <c r="AN33" s="640"/>
      <c r="AO33" s="640"/>
      <c r="AP33" s="640"/>
      <c r="AQ33" s="640"/>
      <c r="AR33" s="640"/>
      <c r="AS33" s="640"/>
      <c r="AT33" s="640"/>
      <c r="AU33" s="640"/>
      <c r="AV33" s="640"/>
      <c r="AW33" s="641"/>
      <c r="AX33" s="643"/>
      <c r="AY33" s="649"/>
    </row>
    <row r="34" spans="1:51" s="199" customFormat="1" ht="8.25" customHeight="1" thickBot="1" x14ac:dyDescent="0.3">
      <c r="A34" s="614"/>
      <c r="B34" s="615"/>
      <c r="C34" s="615"/>
      <c r="D34" s="615"/>
      <c r="E34" s="615"/>
      <c r="F34" s="615"/>
      <c r="G34" s="615"/>
      <c r="H34" s="616"/>
      <c r="I34" s="621"/>
      <c r="J34" s="615"/>
      <c r="K34" s="616"/>
      <c r="L34" s="621"/>
      <c r="M34" s="615"/>
      <c r="N34" s="615"/>
      <c r="O34" s="615"/>
      <c r="P34" s="615"/>
      <c r="Q34" s="615"/>
      <c r="R34" s="615"/>
      <c r="S34" s="616"/>
      <c r="T34" s="632"/>
      <c r="U34" s="632"/>
      <c r="V34" s="632"/>
      <c r="W34" s="634" t="s">
        <v>142</v>
      </c>
      <c r="X34" s="626"/>
      <c r="Y34" s="653" t="s">
        <v>50</v>
      </c>
      <c r="Z34" s="655" t="s">
        <v>53</v>
      </c>
      <c r="AA34" s="655" t="s">
        <v>55</v>
      </c>
      <c r="AB34" s="655" t="s">
        <v>57</v>
      </c>
      <c r="AC34" s="657" t="s">
        <v>59</v>
      </c>
      <c r="AD34" s="657" t="s">
        <v>61</v>
      </c>
      <c r="AE34" s="657" t="s">
        <v>101</v>
      </c>
      <c r="AF34" s="657" t="s">
        <v>107</v>
      </c>
      <c r="AG34" s="651" t="s">
        <v>143</v>
      </c>
      <c r="AH34" s="651" t="s">
        <v>144</v>
      </c>
      <c r="AI34" s="651" t="s">
        <v>145</v>
      </c>
      <c r="AJ34" s="651" t="s">
        <v>146</v>
      </c>
      <c r="AK34" s="643"/>
      <c r="AL34" s="655" t="s">
        <v>50</v>
      </c>
      <c r="AM34" s="655" t="s">
        <v>53</v>
      </c>
      <c r="AN34" s="655" t="s">
        <v>55</v>
      </c>
      <c r="AO34" s="655" t="s">
        <v>57</v>
      </c>
      <c r="AP34" s="657" t="s">
        <v>59</v>
      </c>
      <c r="AQ34" s="657" t="s">
        <v>61</v>
      </c>
      <c r="AR34" s="657" t="s">
        <v>101</v>
      </c>
      <c r="AS34" s="657" t="s">
        <v>107</v>
      </c>
      <c r="AT34" s="651" t="s">
        <v>143</v>
      </c>
      <c r="AU34" s="651" t="s">
        <v>144</v>
      </c>
      <c r="AV34" s="651" t="s">
        <v>145</v>
      </c>
      <c r="AW34" s="651" t="s">
        <v>146</v>
      </c>
      <c r="AX34" s="643"/>
      <c r="AY34" s="649"/>
    </row>
    <row r="35" spans="1:51" s="199" customFormat="1" ht="12.75" customHeight="1" thickBot="1" x14ac:dyDescent="0.3">
      <c r="A35" s="617"/>
      <c r="B35" s="618"/>
      <c r="C35" s="618"/>
      <c r="D35" s="618"/>
      <c r="E35" s="618"/>
      <c r="F35" s="618"/>
      <c r="G35" s="618"/>
      <c r="H35" s="619"/>
      <c r="I35" s="622"/>
      <c r="J35" s="618"/>
      <c r="K35" s="619"/>
      <c r="L35" s="622"/>
      <c r="M35" s="618"/>
      <c r="N35" s="618"/>
      <c r="O35" s="618"/>
      <c r="P35" s="618"/>
      <c r="Q35" s="618"/>
      <c r="R35" s="618"/>
      <c r="S35" s="619"/>
      <c r="T35" s="633"/>
      <c r="U35" s="633"/>
      <c r="V35" s="633"/>
      <c r="W35" s="635"/>
      <c r="X35" s="627"/>
      <c r="Y35" s="654"/>
      <c r="Z35" s="656"/>
      <c r="AA35" s="656"/>
      <c r="AB35" s="656"/>
      <c r="AC35" s="658"/>
      <c r="AD35" s="658"/>
      <c r="AE35" s="658"/>
      <c r="AF35" s="658"/>
      <c r="AG35" s="652"/>
      <c r="AH35" s="652"/>
      <c r="AI35" s="652"/>
      <c r="AJ35" s="652"/>
      <c r="AK35" s="644"/>
      <c r="AL35" s="656"/>
      <c r="AM35" s="656"/>
      <c r="AN35" s="656"/>
      <c r="AO35" s="656"/>
      <c r="AP35" s="658"/>
      <c r="AQ35" s="658"/>
      <c r="AR35" s="658"/>
      <c r="AS35" s="658"/>
      <c r="AT35" s="652"/>
      <c r="AU35" s="652"/>
      <c r="AV35" s="652"/>
      <c r="AW35" s="652"/>
      <c r="AX35" s="644"/>
      <c r="AY35" s="650"/>
    </row>
    <row r="36" spans="1:51" s="199" customFormat="1" ht="15.75" x14ac:dyDescent="0.25">
      <c r="A36" s="661">
        <v>1</v>
      </c>
      <c r="B36" s="662"/>
      <c r="C36" s="662"/>
      <c r="D36" s="662"/>
      <c r="E36" s="662"/>
      <c r="F36" s="662"/>
      <c r="G36" s="662"/>
      <c r="H36" s="663"/>
      <c r="I36" s="664">
        <v>2</v>
      </c>
      <c r="J36" s="665"/>
      <c r="K36" s="666"/>
      <c r="L36" s="664">
        <v>3</v>
      </c>
      <c r="M36" s="665"/>
      <c r="N36" s="665"/>
      <c r="O36" s="665"/>
      <c r="P36" s="665"/>
      <c r="Q36" s="665"/>
      <c r="R36" s="665"/>
      <c r="S36" s="665"/>
      <c r="T36" s="234">
        <v>4</v>
      </c>
      <c r="U36" s="235">
        <v>5</v>
      </c>
      <c r="V36" s="236">
        <v>6</v>
      </c>
      <c r="W36" s="237" t="s">
        <v>147</v>
      </c>
      <c r="X36" s="237">
        <v>8</v>
      </c>
      <c r="Y36" s="238"/>
      <c r="Z36" s="239"/>
      <c r="AA36" s="239"/>
      <c r="AB36" s="239"/>
      <c r="AC36" s="240"/>
      <c r="AD36" s="240"/>
      <c r="AE36" s="240"/>
      <c r="AF36" s="240"/>
      <c r="AG36" s="241"/>
      <c r="AH36" s="241"/>
      <c r="AI36" s="241"/>
      <c r="AJ36" s="242"/>
      <c r="AK36" s="243"/>
      <c r="AL36" s="244"/>
      <c r="AM36" s="239"/>
      <c r="AN36" s="239"/>
      <c r="AO36" s="239"/>
      <c r="AP36" s="240"/>
      <c r="AQ36" s="240"/>
      <c r="AR36" s="240"/>
      <c r="AS36" s="240"/>
      <c r="AT36" s="241"/>
      <c r="AU36" s="241"/>
      <c r="AV36" s="241"/>
      <c r="AW36" s="242"/>
      <c r="AX36" s="243"/>
      <c r="AY36" s="245"/>
    </row>
    <row r="37" spans="1:51" s="268" customFormat="1" ht="15" customHeight="1" x14ac:dyDescent="0.25">
      <c r="A37" s="246"/>
      <c r="B37" s="247" t="s">
        <v>59</v>
      </c>
      <c r="C37" s="247"/>
      <c r="D37" s="247"/>
      <c r="E37" s="247"/>
      <c r="F37" s="247"/>
      <c r="G37" s="247"/>
      <c r="H37" s="248"/>
      <c r="I37" s="249"/>
      <c r="J37" s="250" t="s">
        <v>148</v>
      </c>
      <c r="K37" s="251"/>
      <c r="L37" s="252"/>
      <c r="M37" s="253"/>
      <c r="N37" s="253"/>
      <c r="O37" s="253"/>
      <c r="P37" s="253"/>
      <c r="Q37" s="253"/>
      <c r="R37" s="253"/>
      <c r="S37" s="253"/>
      <c r="T37" s="254"/>
      <c r="U37" s="254"/>
      <c r="V37" s="255"/>
      <c r="W37" s="256">
        <f t="shared" ref="W37:W38" si="0">W38</f>
        <v>1080000</v>
      </c>
      <c r="X37" s="257"/>
      <c r="Y37" s="258"/>
      <c r="Z37" s="259"/>
      <c r="AA37" s="260"/>
      <c r="AB37" s="261"/>
      <c r="AC37" s="262"/>
      <c r="AD37" s="262"/>
      <c r="AE37" s="262"/>
      <c r="AF37" s="262"/>
      <c r="AG37" s="263"/>
      <c r="AH37" s="263"/>
      <c r="AI37" s="263"/>
      <c r="AJ37" s="264"/>
      <c r="AK37" s="265"/>
      <c r="AL37" s="266"/>
      <c r="AM37" s="259"/>
      <c r="AN37" s="260"/>
      <c r="AO37" s="261"/>
      <c r="AP37" s="262"/>
      <c r="AQ37" s="262"/>
      <c r="AR37" s="262"/>
      <c r="AS37" s="262"/>
      <c r="AT37" s="263"/>
      <c r="AU37" s="263"/>
      <c r="AV37" s="263"/>
      <c r="AW37" s="264"/>
      <c r="AX37" s="265"/>
      <c r="AY37" s="267"/>
    </row>
    <row r="38" spans="1:51" s="268" customFormat="1" ht="15" customHeight="1" x14ac:dyDescent="0.25">
      <c r="A38" s="269"/>
      <c r="B38" s="270" t="s">
        <v>59</v>
      </c>
      <c r="C38" s="334" t="s">
        <v>50</v>
      </c>
      <c r="D38" s="271"/>
      <c r="E38" s="271"/>
      <c r="F38" s="272"/>
      <c r="G38" s="270"/>
      <c r="H38" s="273"/>
      <c r="I38" s="274"/>
      <c r="J38" s="275" t="s">
        <v>149</v>
      </c>
      <c r="K38" s="276"/>
      <c r="L38" s="277"/>
      <c r="M38" s="278"/>
      <c r="N38" s="278"/>
      <c r="O38" s="278"/>
      <c r="P38" s="278"/>
      <c r="Q38" s="278"/>
      <c r="R38" s="278"/>
      <c r="S38" s="278"/>
      <c r="T38" s="279"/>
      <c r="U38" s="279"/>
      <c r="V38" s="280"/>
      <c r="W38" s="281">
        <f t="shared" si="0"/>
        <v>1080000</v>
      </c>
      <c r="X38" s="257"/>
      <c r="Y38" s="258"/>
      <c r="Z38" s="259"/>
      <c r="AA38" s="261"/>
      <c r="AB38" s="261"/>
      <c r="AC38" s="262"/>
      <c r="AD38" s="262"/>
      <c r="AE38" s="262"/>
      <c r="AF38" s="262"/>
      <c r="AG38" s="263"/>
      <c r="AH38" s="263"/>
      <c r="AI38" s="263"/>
      <c r="AJ38" s="264"/>
      <c r="AK38" s="265"/>
      <c r="AL38" s="266"/>
      <c r="AM38" s="259"/>
      <c r="AN38" s="261"/>
      <c r="AO38" s="261"/>
      <c r="AP38" s="262"/>
      <c r="AQ38" s="262"/>
      <c r="AR38" s="262"/>
      <c r="AS38" s="262"/>
      <c r="AT38" s="263"/>
      <c r="AU38" s="263"/>
      <c r="AV38" s="263"/>
      <c r="AW38" s="264"/>
      <c r="AX38" s="265"/>
      <c r="AY38" s="267"/>
    </row>
    <row r="39" spans="1:51" s="268" customFormat="1" ht="15" customHeight="1" x14ac:dyDescent="0.25">
      <c r="A39" s="269"/>
      <c r="B39" s="270" t="s">
        <v>59</v>
      </c>
      <c r="C39" s="334" t="s">
        <v>50</v>
      </c>
      <c r="D39" s="288" t="s">
        <v>67</v>
      </c>
      <c r="E39" s="271"/>
      <c r="F39" s="271"/>
      <c r="G39" s="270"/>
      <c r="H39" s="273"/>
      <c r="I39" s="282"/>
      <c r="J39" s="283" t="s">
        <v>150</v>
      </c>
      <c r="K39" s="284"/>
      <c r="L39" s="285"/>
      <c r="M39" s="286"/>
      <c r="N39" s="286"/>
      <c r="O39" s="286"/>
      <c r="P39" s="286"/>
      <c r="Q39" s="286"/>
      <c r="R39" s="286"/>
      <c r="S39" s="286"/>
      <c r="T39" s="279"/>
      <c r="U39" s="279"/>
      <c r="V39" s="280"/>
      <c r="W39" s="281">
        <f>W40</f>
        <v>1080000</v>
      </c>
      <c r="X39" s="287"/>
      <c r="Y39" s="258"/>
      <c r="Z39" s="259"/>
      <c r="AA39" s="261"/>
      <c r="AB39" s="261"/>
      <c r="AC39" s="262"/>
      <c r="AD39" s="262"/>
      <c r="AE39" s="262"/>
      <c r="AF39" s="262"/>
      <c r="AG39" s="263"/>
      <c r="AH39" s="263"/>
      <c r="AI39" s="263"/>
      <c r="AJ39" s="264"/>
      <c r="AK39" s="265"/>
      <c r="AL39" s="266"/>
      <c r="AM39" s="259"/>
      <c r="AN39" s="261"/>
      <c r="AO39" s="261"/>
      <c r="AP39" s="262"/>
      <c r="AQ39" s="262"/>
      <c r="AR39" s="262"/>
      <c r="AS39" s="262"/>
      <c r="AT39" s="263"/>
      <c r="AU39" s="263"/>
      <c r="AV39" s="263"/>
      <c r="AW39" s="264"/>
      <c r="AX39" s="265"/>
      <c r="AY39" s="267"/>
    </row>
    <row r="40" spans="1:51" s="305" customFormat="1" ht="15" customHeight="1" x14ac:dyDescent="0.25">
      <c r="A40" s="269"/>
      <c r="B40" s="270" t="s">
        <v>59</v>
      </c>
      <c r="C40" s="270" t="s">
        <v>50</v>
      </c>
      <c r="D40" s="288" t="s">
        <v>67</v>
      </c>
      <c r="E40" s="288" t="s">
        <v>67</v>
      </c>
      <c r="F40" s="271"/>
      <c r="G40" s="270"/>
      <c r="H40" s="273"/>
      <c r="I40" s="289"/>
      <c r="J40" s="283" t="s">
        <v>153</v>
      </c>
      <c r="K40" s="290"/>
      <c r="L40" s="291"/>
      <c r="M40" s="292"/>
      <c r="N40" s="292"/>
      <c r="O40" s="292"/>
      <c r="P40" s="292"/>
      <c r="Q40" s="292"/>
      <c r="R40" s="292"/>
      <c r="S40" s="292"/>
      <c r="T40" s="293"/>
      <c r="U40" s="293"/>
      <c r="V40" s="294"/>
      <c r="W40" s="295">
        <f>W41</f>
        <v>1080000</v>
      </c>
      <c r="X40" s="296"/>
      <c r="Y40" s="297"/>
      <c r="Z40" s="259"/>
      <c r="AA40" s="298"/>
      <c r="AB40" s="298"/>
      <c r="AC40" s="299"/>
      <c r="AD40" s="299"/>
      <c r="AE40" s="299"/>
      <c r="AF40" s="299"/>
      <c r="AG40" s="300"/>
      <c r="AH40" s="300"/>
      <c r="AI40" s="300"/>
      <c r="AJ40" s="301"/>
      <c r="AK40" s="335"/>
      <c r="AL40" s="303"/>
      <c r="AM40" s="259"/>
      <c r="AN40" s="298"/>
      <c r="AO40" s="298"/>
      <c r="AP40" s="299"/>
      <c r="AQ40" s="299"/>
      <c r="AR40" s="299"/>
      <c r="AS40" s="299"/>
      <c r="AT40" s="300"/>
      <c r="AU40" s="300"/>
      <c r="AV40" s="300"/>
      <c r="AW40" s="301"/>
      <c r="AX40" s="335"/>
      <c r="AY40" s="336"/>
    </row>
    <row r="41" spans="1:51" s="305" customFormat="1" ht="15" customHeight="1" x14ac:dyDescent="0.25">
      <c r="A41" s="269"/>
      <c r="B41" s="270" t="s">
        <v>59</v>
      </c>
      <c r="C41" s="270" t="s">
        <v>50</v>
      </c>
      <c r="D41" s="288" t="s">
        <v>67</v>
      </c>
      <c r="E41" s="288" t="s">
        <v>67</v>
      </c>
      <c r="F41" s="271" t="s">
        <v>65</v>
      </c>
      <c r="G41" s="270"/>
      <c r="H41" s="273"/>
      <c r="I41" s="289"/>
      <c r="J41" s="283" t="s">
        <v>154</v>
      </c>
      <c r="K41" s="290"/>
      <c r="L41" s="291"/>
      <c r="M41" s="292"/>
      <c r="N41" s="292"/>
      <c r="O41" s="292"/>
      <c r="P41" s="292"/>
      <c r="Q41" s="292"/>
      <c r="R41" s="292"/>
      <c r="S41" s="292"/>
      <c r="T41" s="293"/>
      <c r="U41" s="293"/>
      <c r="V41" s="294"/>
      <c r="W41" s="295">
        <f>W42</f>
        <v>1080000</v>
      </c>
      <c r="X41" s="296"/>
      <c r="Y41" s="297"/>
      <c r="Z41" s="259"/>
      <c r="AA41" s="298"/>
      <c r="AB41" s="298"/>
      <c r="AC41" s="299"/>
      <c r="AD41" s="299"/>
      <c r="AE41" s="299"/>
      <c r="AF41" s="299"/>
      <c r="AG41" s="300"/>
      <c r="AH41" s="300"/>
      <c r="AI41" s="300"/>
      <c r="AJ41" s="301"/>
      <c r="AK41" s="335"/>
      <c r="AL41" s="303"/>
      <c r="AM41" s="259"/>
      <c r="AN41" s="298"/>
      <c r="AO41" s="298"/>
      <c r="AP41" s="299"/>
      <c r="AQ41" s="299"/>
      <c r="AR41" s="299"/>
      <c r="AS41" s="299"/>
      <c r="AT41" s="300"/>
      <c r="AU41" s="300"/>
      <c r="AV41" s="300"/>
      <c r="AW41" s="301"/>
      <c r="AX41" s="335"/>
      <c r="AY41" s="336"/>
    </row>
    <row r="42" spans="1:51" s="330" customFormat="1" ht="15" customHeight="1" x14ac:dyDescent="0.25">
      <c r="A42" s="306"/>
      <c r="B42" s="307" t="s">
        <v>59</v>
      </c>
      <c r="C42" s="307" t="s">
        <v>50</v>
      </c>
      <c r="D42" s="309" t="s">
        <v>67</v>
      </c>
      <c r="E42" s="309" t="s">
        <v>67</v>
      </c>
      <c r="F42" s="308" t="s">
        <v>65</v>
      </c>
      <c r="G42" s="310" t="s">
        <v>728</v>
      </c>
      <c r="H42" s="311"/>
      <c r="I42" s="312"/>
      <c r="J42" s="331" t="s">
        <v>729</v>
      </c>
      <c r="K42" s="314"/>
      <c r="L42" s="315"/>
      <c r="M42" s="316"/>
      <c r="N42" s="316"/>
      <c r="O42" s="316"/>
      <c r="P42" s="316"/>
      <c r="Q42" s="316"/>
      <c r="R42" s="316"/>
      <c r="S42" s="316"/>
      <c r="T42" s="317"/>
      <c r="U42" s="317"/>
      <c r="V42" s="318"/>
      <c r="W42" s="319">
        <f>SUM(W43:W43)</f>
        <v>1080000</v>
      </c>
      <c r="X42" s="320"/>
      <c r="Y42" s="321"/>
      <c r="Z42" s="322"/>
      <c r="AA42" s="323"/>
      <c r="AB42" s="323"/>
      <c r="AC42" s="324"/>
      <c r="AD42" s="324"/>
      <c r="AE42" s="324"/>
      <c r="AF42" s="324"/>
      <c r="AG42" s="325"/>
      <c r="AH42" s="325"/>
      <c r="AI42" s="325"/>
      <c r="AJ42" s="326"/>
      <c r="AK42" s="332"/>
      <c r="AL42" s="328"/>
      <c r="AM42" s="322"/>
      <c r="AN42" s="323"/>
      <c r="AO42" s="323"/>
      <c r="AP42" s="324"/>
      <c r="AQ42" s="324"/>
      <c r="AR42" s="324"/>
      <c r="AS42" s="324"/>
      <c r="AT42" s="325"/>
      <c r="AU42" s="325"/>
      <c r="AV42" s="325"/>
      <c r="AW42" s="326"/>
      <c r="AX42" s="332"/>
      <c r="AY42" s="333"/>
    </row>
    <row r="43" spans="1:51" s="330" customFormat="1" ht="15" customHeight="1" x14ac:dyDescent="0.25">
      <c r="A43" s="306"/>
      <c r="B43" s="307"/>
      <c r="C43" s="307"/>
      <c r="D43" s="308"/>
      <c r="E43" s="308"/>
      <c r="F43" s="308"/>
      <c r="G43" s="307"/>
      <c r="H43" s="311"/>
      <c r="I43" s="312"/>
      <c r="J43" s="331" t="s">
        <v>730</v>
      </c>
      <c r="K43" s="314"/>
      <c r="L43" s="316"/>
      <c r="M43" s="316"/>
      <c r="N43" s="316"/>
      <c r="O43" s="316"/>
      <c r="P43" s="316"/>
      <c r="Q43" s="316"/>
      <c r="R43" s="316">
        <v>12</v>
      </c>
      <c r="S43" s="316" t="s">
        <v>155</v>
      </c>
      <c r="T43" s="317">
        <f>R43</f>
        <v>12</v>
      </c>
      <c r="U43" s="317" t="s">
        <v>155</v>
      </c>
      <c r="V43" s="318">
        <v>90000</v>
      </c>
      <c r="W43" s="484">
        <f>V43*T43</f>
        <v>1080000</v>
      </c>
      <c r="X43" s="320" t="s">
        <v>649</v>
      </c>
      <c r="Y43" s="321">
        <v>90000</v>
      </c>
      <c r="Z43" s="322">
        <v>90000</v>
      </c>
      <c r="AA43" s="323">
        <v>90000</v>
      </c>
      <c r="AB43" s="323">
        <v>90000</v>
      </c>
      <c r="AC43" s="324">
        <v>90000</v>
      </c>
      <c r="AD43" s="324">
        <v>90000</v>
      </c>
      <c r="AE43" s="324">
        <v>90000</v>
      </c>
      <c r="AF43" s="324">
        <v>90000</v>
      </c>
      <c r="AG43" s="325">
        <v>90000</v>
      </c>
      <c r="AH43" s="325">
        <v>90000</v>
      </c>
      <c r="AI43" s="325">
        <v>90000</v>
      </c>
      <c r="AJ43" s="326">
        <v>90000</v>
      </c>
      <c r="AK43" s="332">
        <f t="shared" ref="AK43" si="1">SUM(Y43:AJ43)</f>
        <v>1080000</v>
      </c>
      <c r="AL43" s="328"/>
      <c r="AM43" s="322"/>
      <c r="AN43" s="323"/>
      <c r="AO43" s="323"/>
      <c r="AP43" s="324"/>
      <c r="AQ43" s="324"/>
      <c r="AR43" s="324"/>
      <c r="AS43" s="324"/>
      <c r="AT43" s="325"/>
      <c r="AU43" s="325"/>
      <c r="AV43" s="325"/>
      <c r="AW43" s="326"/>
      <c r="AX43" s="332">
        <f t="shared" ref="AX43" si="2">SUM(AL43:AW43)</f>
        <v>0</v>
      </c>
      <c r="AY43" s="333">
        <f t="shared" ref="AY43" si="3">AK43-AX43</f>
        <v>1080000</v>
      </c>
    </row>
    <row r="44" spans="1:51" s="345" customFormat="1" ht="15" customHeight="1" x14ac:dyDescent="0.25">
      <c r="A44" s="306"/>
      <c r="B44" s="307"/>
      <c r="C44" s="307"/>
      <c r="D44" s="308"/>
      <c r="E44" s="308"/>
      <c r="F44" s="308"/>
      <c r="G44" s="307"/>
      <c r="H44" s="311"/>
      <c r="I44" s="347"/>
      <c r="J44" s="313"/>
      <c r="K44" s="284"/>
      <c r="L44" s="285"/>
      <c r="M44" s="286"/>
      <c r="N44" s="286"/>
      <c r="O44" s="286"/>
      <c r="P44" s="286"/>
      <c r="Q44" s="286"/>
      <c r="R44" s="286"/>
      <c r="S44" s="286"/>
      <c r="T44" s="279"/>
      <c r="U44" s="279"/>
      <c r="V44" s="280"/>
      <c r="W44" s="346"/>
      <c r="X44" s="348"/>
      <c r="Y44" s="337"/>
      <c r="Z44" s="338"/>
      <c r="AA44" s="338"/>
      <c r="AB44" s="338"/>
      <c r="AC44" s="339"/>
      <c r="AD44" s="339"/>
      <c r="AE44" s="339"/>
      <c r="AF44" s="339"/>
      <c r="AG44" s="340"/>
      <c r="AH44" s="340"/>
      <c r="AI44" s="340"/>
      <c r="AJ44" s="341"/>
      <c r="AK44" s="343"/>
      <c r="AL44" s="342"/>
      <c r="AM44" s="338"/>
      <c r="AN44" s="338"/>
      <c r="AO44" s="338"/>
      <c r="AP44" s="339"/>
      <c r="AQ44" s="339"/>
      <c r="AR44" s="339"/>
      <c r="AS44" s="339"/>
      <c r="AT44" s="340"/>
      <c r="AU44" s="340"/>
      <c r="AV44" s="340"/>
      <c r="AW44" s="341"/>
      <c r="AX44" s="343"/>
      <c r="AY44" s="344"/>
    </row>
    <row r="45" spans="1:51" s="268" customFormat="1" ht="15" customHeight="1" thickBot="1" x14ac:dyDescent="0.3">
      <c r="A45" s="349"/>
      <c r="B45" s="350"/>
      <c r="C45" s="350"/>
      <c r="D45" s="351"/>
      <c r="E45" s="351"/>
      <c r="F45" s="351"/>
      <c r="G45" s="350"/>
      <c r="H45" s="352"/>
      <c r="I45" s="353"/>
      <c r="J45" s="354"/>
      <c r="K45" s="314"/>
      <c r="L45" s="331"/>
      <c r="M45" s="355"/>
      <c r="N45" s="355"/>
      <c r="O45" s="355"/>
      <c r="P45" s="355"/>
      <c r="Q45" s="355"/>
      <c r="R45" s="355"/>
      <c r="S45" s="355"/>
      <c r="T45" s="356"/>
      <c r="U45" s="317"/>
      <c r="V45" s="357"/>
      <c r="W45" s="358"/>
      <c r="X45" s="348"/>
      <c r="Y45" s="359"/>
      <c r="Z45" s="360"/>
      <c r="AA45" s="360"/>
      <c r="AB45" s="360"/>
      <c r="AC45" s="361"/>
      <c r="AD45" s="361"/>
      <c r="AE45" s="361"/>
      <c r="AF45" s="361"/>
      <c r="AG45" s="362"/>
      <c r="AH45" s="362"/>
      <c r="AI45" s="362"/>
      <c r="AJ45" s="363"/>
      <c r="AK45" s="265"/>
      <c r="AL45" s="364"/>
      <c r="AM45" s="360"/>
      <c r="AN45" s="360"/>
      <c r="AO45" s="360"/>
      <c r="AP45" s="361"/>
      <c r="AQ45" s="361"/>
      <c r="AR45" s="361"/>
      <c r="AS45" s="361"/>
      <c r="AT45" s="362"/>
      <c r="AU45" s="362"/>
      <c r="AV45" s="362"/>
      <c r="AW45" s="363"/>
      <c r="AX45" s="265"/>
      <c r="AY45" s="267"/>
    </row>
    <row r="46" spans="1:51" s="379" customFormat="1" ht="20.25" customHeight="1" thickBot="1" x14ac:dyDescent="0.3">
      <c r="A46" s="365" t="s">
        <v>157</v>
      </c>
      <c r="B46" s="366"/>
      <c r="C46" s="367"/>
      <c r="D46" s="367"/>
      <c r="E46" s="367"/>
      <c r="F46" s="367"/>
      <c r="G46" s="367"/>
      <c r="H46" s="367"/>
      <c r="I46" s="367"/>
      <c r="J46" s="367"/>
      <c r="K46" s="367"/>
      <c r="L46" s="367"/>
      <c r="M46" s="367"/>
      <c r="N46" s="367"/>
      <c r="O46" s="367"/>
      <c r="P46" s="367"/>
      <c r="Q46" s="367"/>
      <c r="R46" s="367"/>
      <c r="S46" s="367"/>
      <c r="T46" s="367"/>
      <c r="U46" s="367"/>
      <c r="V46" s="368"/>
      <c r="W46" s="369">
        <f>W37</f>
        <v>1080000</v>
      </c>
      <c r="X46" s="370"/>
      <c r="Y46" s="371"/>
      <c r="Z46" s="372"/>
      <c r="AA46" s="372"/>
      <c r="AB46" s="372"/>
      <c r="AC46" s="373"/>
      <c r="AD46" s="373"/>
      <c r="AE46" s="373"/>
      <c r="AF46" s="373"/>
      <c r="AG46" s="374"/>
      <c r="AH46" s="374"/>
      <c r="AI46" s="374"/>
      <c r="AJ46" s="375"/>
      <c r="AK46" s="376">
        <f>SUM(AK36:AK45)</f>
        <v>1080000</v>
      </c>
      <c r="AL46" s="377"/>
      <c r="AM46" s="372"/>
      <c r="AN46" s="372"/>
      <c r="AO46" s="372"/>
      <c r="AP46" s="373"/>
      <c r="AQ46" s="373"/>
      <c r="AR46" s="373"/>
      <c r="AS46" s="373"/>
      <c r="AT46" s="374"/>
      <c r="AU46" s="374"/>
      <c r="AV46" s="374"/>
      <c r="AW46" s="375"/>
      <c r="AX46" s="376">
        <f>SUM(AX36:AX45)</f>
        <v>0</v>
      </c>
      <c r="AY46" s="378">
        <f>SUM(AY36:AY45)</f>
        <v>1080000</v>
      </c>
    </row>
    <row r="47" spans="1:51" s="268" customFormat="1" ht="15.75" x14ac:dyDescent="0.25">
      <c r="A47" s="219" t="s">
        <v>158</v>
      </c>
      <c r="B47" s="380"/>
      <c r="C47" s="380"/>
      <c r="D47" s="380"/>
      <c r="E47" s="380"/>
      <c r="F47" s="380"/>
      <c r="G47" s="380"/>
      <c r="H47" s="380"/>
      <c r="I47" s="380"/>
      <c r="J47" s="380"/>
      <c r="K47" s="381"/>
      <c r="L47" s="382"/>
      <c r="M47" s="380"/>
      <c r="N47" s="380"/>
      <c r="O47" s="380"/>
      <c r="P47" s="380"/>
      <c r="Q47" s="380"/>
      <c r="R47" s="380"/>
      <c r="S47" s="380"/>
      <c r="T47" s="383"/>
      <c r="U47" s="384"/>
      <c r="V47" s="384"/>
      <c r="W47" s="384"/>
      <c r="X47" s="385"/>
      <c r="Y47" s="386"/>
      <c r="Z47" s="387"/>
      <c r="AA47" s="387"/>
      <c r="AB47" s="387"/>
      <c r="AC47" s="387"/>
      <c r="AD47" s="387"/>
      <c r="AE47" s="387"/>
      <c r="AF47" s="387"/>
      <c r="AG47" s="387"/>
      <c r="AH47" s="387"/>
      <c r="AI47" s="387"/>
      <c r="AJ47" s="387"/>
    </row>
    <row r="48" spans="1:51" s="268" customFormat="1" ht="15.75" x14ac:dyDescent="0.25">
      <c r="A48" s="219" t="s">
        <v>159</v>
      </c>
      <c r="B48" s="220"/>
      <c r="C48" s="380"/>
      <c r="D48" s="660" t="s">
        <v>160</v>
      </c>
      <c r="E48" s="660"/>
      <c r="F48" s="660"/>
      <c r="G48" s="660"/>
      <c r="H48" s="660"/>
      <c r="I48" s="388"/>
      <c r="J48" s="388"/>
      <c r="K48" s="389"/>
      <c r="L48" s="390"/>
      <c r="M48" s="391"/>
      <c r="N48" s="391"/>
      <c r="O48" s="391"/>
      <c r="P48" s="391"/>
      <c r="Q48" s="391"/>
      <c r="R48" s="391"/>
      <c r="S48" s="391"/>
      <c r="T48" s="380"/>
      <c r="U48" s="388"/>
      <c r="V48" s="392" t="s">
        <v>843</v>
      </c>
      <c r="W48" s="393"/>
      <c r="X48" s="394"/>
      <c r="Y48" s="387"/>
      <c r="Z48" s="387"/>
      <c r="AA48" s="387" t="s">
        <v>161</v>
      </c>
      <c r="AB48" s="387"/>
      <c r="AC48" s="387"/>
      <c r="AD48" s="387"/>
      <c r="AE48" s="387"/>
      <c r="AF48" s="387"/>
      <c r="AG48" s="387"/>
      <c r="AH48" s="387"/>
      <c r="AI48" s="387"/>
      <c r="AJ48" s="387"/>
    </row>
    <row r="49" spans="1:36" s="268" customFormat="1" ht="12" customHeight="1" x14ac:dyDescent="0.25">
      <c r="A49" s="219" t="s">
        <v>162</v>
      </c>
      <c r="B49" s="220"/>
      <c r="C49" s="380"/>
      <c r="D49" s="660" t="s">
        <v>160</v>
      </c>
      <c r="E49" s="660"/>
      <c r="F49" s="660"/>
      <c r="G49" s="660"/>
      <c r="H49" s="660"/>
      <c r="I49" s="388"/>
      <c r="J49" s="388"/>
      <c r="K49" s="389"/>
      <c r="L49" s="390"/>
      <c r="M49" s="391"/>
      <c r="N49" s="391"/>
      <c r="O49" s="391"/>
      <c r="P49" s="391"/>
      <c r="Q49" s="391"/>
      <c r="R49" s="391"/>
      <c r="S49" s="391"/>
      <c r="T49" s="380"/>
      <c r="U49" s="384"/>
      <c r="V49" s="395" t="s">
        <v>26</v>
      </c>
      <c r="W49" s="393"/>
      <c r="X49" s="394"/>
      <c r="Y49" s="387"/>
      <c r="Z49" s="387"/>
      <c r="AA49" s="387"/>
      <c r="AB49" s="387"/>
      <c r="AC49" s="387"/>
      <c r="AD49" s="387"/>
      <c r="AE49" s="387"/>
      <c r="AF49" s="387"/>
      <c r="AG49" s="387"/>
      <c r="AH49" s="387"/>
      <c r="AI49" s="387"/>
      <c r="AJ49" s="387"/>
    </row>
    <row r="50" spans="1:36" s="268" customFormat="1" ht="15.75" x14ac:dyDescent="0.25">
      <c r="A50" s="219" t="s">
        <v>163</v>
      </c>
      <c r="B50" s="220"/>
      <c r="C50" s="380"/>
      <c r="D50" s="660" t="s">
        <v>160</v>
      </c>
      <c r="E50" s="660"/>
      <c r="F50" s="660"/>
      <c r="G50" s="660"/>
      <c r="H50" s="660"/>
      <c r="I50" s="388"/>
      <c r="J50" s="388"/>
      <c r="K50" s="389"/>
      <c r="L50" s="390"/>
      <c r="M50" s="391"/>
      <c r="N50" s="391"/>
      <c r="O50" s="391"/>
      <c r="P50" s="391"/>
      <c r="Q50" s="391"/>
      <c r="R50" s="391"/>
      <c r="S50" s="391"/>
      <c r="T50" s="380"/>
      <c r="U50" s="384"/>
      <c r="V50" s="395"/>
      <c r="W50" s="393"/>
      <c r="X50" s="394"/>
      <c r="Y50" s="387"/>
      <c r="Z50" s="387"/>
      <c r="AA50" s="387"/>
      <c r="AB50" s="387"/>
      <c r="AC50" s="387"/>
      <c r="AD50" s="387"/>
      <c r="AE50" s="387"/>
      <c r="AF50" s="387"/>
      <c r="AG50" s="387"/>
      <c r="AH50" s="387"/>
      <c r="AI50" s="387"/>
      <c r="AJ50" s="387"/>
    </row>
    <row r="51" spans="1:36" s="268" customFormat="1" ht="15.75" x14ac:dyDescent="0.25">
      <c r="A51" s="219"/>
      <c r="B51" s="220"/>
      <c r="C51" s="380"/>
      <c r="D51" s="659"/>
      <c r="E51" s="659"/>
      <c r="F51" s="659"/>
      <c r="G51" s="659"/>
      <c r="H51" s="659"/>
      <c r="I51" s="388"/>
      <c r="J51" s="388"/>
      <c r="K51" s="396"/>
      <c r="L51" s="390"/>
      <c r="M51" s="391"/>
      <c r="N51" s="391"/>
      <c r="O51" s="391"/>
      <c r="P51" s="391"/>
      <c r="Q51" s="391"/>
      <c r="R51" s="391"/>
      <c r="S51" s="391"/>
      <c r="T51" s="380"/>
      <c r="U51" s="393"/>
      <c r="V51" s="395"/>
      <c r="W51" s="393"/>
      <c r="X51" s="394"/>
      <c r="Y51" s="387"/>
      <c r="Z51" s="387"/>
      <c r="AA51" s="387"/>
      <c r="AB51" s="387"/>
      <c r="AC51" s="387"/>
      <c r="AD51" s="387"/>
      <c r="AE51" s="387"/>
      <c r="AF51" s="387"/>
      <c r="AG51" s="387"/>
      <c r="AH51" s="387"/>
      <c r="AI51" s="387"/>
      <c r="AJ51" s="387"/>
    </row>
    <row r="52" spans="1:36" s="268" customFormat="1" ht="15.75" x14ac:dyDescent="0.25">
      <c r="A52" s="219" t="s">
        <v>87</v>
      </c>
      <c r="B52" s="220"/>
      <c r="C52" s="380"/>
      <c r="D52" s="660" t="s">
        <v>160</v>
      </c>
      <c r="E52" s="660"/>
      <c r="F52" s="660"/>
      <c r="G52" s="660"/>
      <c r="H52" s="660"/>
      <c r="I52" s="388"/>
      <c r="J52" s="388"/>
      <c r="K52" s="396"/>
      <c r="L52" s="390"/>
      <c r="M52" s="391"/>
      <c r="N52" s="391"/>
      <c r="O52" s="391"/>
      <c r="P52" s="391"/>
      <c r="Q52" s="391"/>
      <c r="R52" s="391"/>
      <c r="S52" s="391"/>
      <c r="T52" s="380"/>
      <c r="U52" s="393"/>
      <c r="V52" s="397"/>
      <c r="W52" s="398"/>
      <c r="X52" s="394"/>
      <c r="Y52" s="387"/>
      <c r="Z52" s="387"/>
      <c r="AA52" s="387"/>
      <c r="AB52" s="387"/>
      <c r="AC52" s="387"/>
      <c r="AD52" s="387"/>
      <c r="AE52" s="387"/>
      <c r="AF52" s="387"/>
      <c r="AG52" s="387"/>
      <c r="AH52" s="387"/>
      <c r="AI52" s="387"/>
      <c r="AJ52" s="387"/>
    </row>
    <row r="53" spans="1:36" s="268" customFormat="1" ht="15.75" x14ac:dyDescent="0.25">
      <c r="A53" s="399"/>
      <c r="B53" s="380"/>
      <c r="C53" s="380"/>
      <c r="D53" s="380"/>
      <c r="E53" s="380"/>
      <c r="F53" s="380"/>
      <c r="G53" s="380"/>
      <c r="H53" s="380"/>
      <c r="I53" s="388"/>
      <c r="J53" s="388"/>
      <c r="K53" s="396"/>
      <c r="L53" s="390"/>
      <c r="M53" s="391"/>
      <c r="N53" s="391"/>
      <c r="O53" s="391"/>
      <c r="P53" s="391"/>
      <c r="Q53" s="391"/>
      <c r="R53" s="391"/>
      <c r="S53" s="391"/>
      <c r="T53" s="380"/>
      <c r="U53" s="223"/>
      <c r="V53" s="400" t="s">
        <v>28</v>
      </c>
      <c r="W53" s="401"/>
      <c r="X53" s="394"/>
      <c r="Y53" s="387"/>
      <c r="Z53" s="387"/>
      <c r="AA53" s="387"/>
      <c r="AB53" s="387"/>
      <c r="AC53" s="387"/>
      <c r="AD53" s="387"/>
      <c r="AE53" s="387"/>
      <c r="AF53" s="387"/>
      <c r="AG53" s="387"/>
      <c r="AH53" s="387"/>
      <c r="AI53" s="387"/>
      <c r="AJ53" s="387"/>
    </row>
    <row r="54" spans="1:36" s="268" customFormat="1" ht="15.75" x14ac:dyDescent="0.25">
      <c r="A54" s="399"/>
      <c r="B54" s="380"/>
      <c r="C54" s="380"/>
      <c r="D54" s="380"/>
      <c r="E54" s="380"/>
      <c r="F54" s="380"/>
      <c r="G54" s="380"/>
      <c r="H54" s="380"/>
      <c r="I54" s="393"/>
      <c r="J54" s="388"/>
      <c r="K54" s="389"/>
      <c r="L54" s="390"/>
      <c r="M54" s="391"/>
      <c r="N54" s="391"/>
      <c r="O54" s="391"/>
      <c r="P54" s="391"/>
      <c r="Q54" s="391"/>
      <c r="R54" s="391"/>
      <c r="S54" s="391"/>
      <c r="T54" s="380"/>
      <c r="U54" s="223"/>
      <c r="V54" s="402" t="s">
        <v>76</v>
      </c>
      <c r="W54" s="393"/>
      <c r="X54" s="394"/>
      <c r="Y54" s="387"/>
      <c r="Z54" s="387"/>
      <c r="AA54" s="387"/>
      <c r="AB54" s="387"/>
      <c r="AC54" s="387"/>
      <c r="AD54" s="387"/>
      <c r="AE54" s="387"/>
      <c r="AF54" s="387"/>
      <c r="AG54" s="387"/>
      <c r="AH54" s="387"/>
      <c r="AI54" s="387"/>
      <c r="AJ54" s="387"/>
    </row>
    <row r="55" spans="1:36" s="268" customFormat="1" ht="11.25" customHeight="1" thickBot="1" x14ac:dyDescent="0.3">
      <c r="A55" s="403"/>
      <c r="B55" s="404"/>
      <c r="C55" s="404"/>
      <c r="D55" s="404"/>
      <c r="E55" s="404"/>
      <c r="F55" s="404"/>
      <c r="G55" s="404"/>
      <c r="H55" s="404"/>
      <c r="I55" s="405"/>
      <c r="J55" s="405"/>
      <c r="K55" s="406"/>
      <c r="L55" s="407"/>
      <c r="M55" s="405"/>
      <c r="N55" s="405"/>
      <c r="O55" s="405"/>
      <c r="P55" s="405"/>
      <c r="Q55" s="405"/>
      <c r="R55" s="405"/>
      <c r="S55" s="405"/>
      <c r="T55" s="408"/>
      <c r="U55" s="409"/>
      <c r="V55" s="410"/>
      <c r="W55" s="410"/>
      <c r="X55" s="411"/>
      <c r="Y55" s="387"/>
      <c r="Z55" s="387"/>
      <c r="AA55" s="387"/>
      <c r="AB55" s="387"/>
      <c r="AC55" s="387"/>
      <c r="AD55" s="387"/>
      <c r="AE55" s="387"/>
      <c r="AF55" s="387"/>
      <c r="AG55" s="387"/>
      <c r="AH55" s="387"/>
      <c r="AI55" s="387"/>
      <c r="AJ55" s="387"/>
    </row>
    <row r="56" spans="1:36" s="199" customFormat="1" ht="15.75" x14ac:dyDescent="0.25">
      <c r="A56" s="412"/>
      <c r="B56" s="412"/>
      <c r="C56" s="412"/>
      <c r="D56" s="412"/>
      <c r="E56" s="412"/>
      <c r="F56" s="412"/>
      <c r="G56" s="412"/>
      <c r="H56" s="412"/>
      <c r="I56" s="413"/>
      <c r="J56" s="413"/>
      <c r="K56" s="413"/>
      <c r="L56" s="414"/>
      <c r="M56" s="412"/>
      <c r="N56" s="412"/>
      <c r="O56" s="412"/>
      <c r="P56" s="412"/>
      <c r="Q56" s="412"/>
      <c r="R56" s="412"/>
      <c r="S56" s="412"/>
      <c r="T56" s="412"/>
      <c r="U56" s="413"/>
      <c r="V56" s="413"/>
      <c r="W56" s="413"/>
      <c r="X56" s="413"/>
      <c r="Y56" s="198"/>
      <c r="Z56" s="198"/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</row>
    <row r="57" spans="1:36" s="199" customFormat="1" ht="15.75" x14ac:dyDescent="0.25">
      <c r="A57" s="412"/>
      <c r="B57" s="412"/>
      <c r="C57" s="412"/>
      <c r="D57" s="412"/>
      <c r="E57" s="412"/>
      <c r="F57" s="412"/>
      <c r="G57" s="412"/>
      <c r="H57" s="412"/>
      <c r="I57" s="413"/>
      <c r="J57" s="413"/>
      <c r="K57" s="413"/>
      <c r="L57" s="414"/>
      <c r="M57" s="412"/>
      <c r="N57" s="412"/>
      <c r="O57" s="412"/>
      <c r="P57" s="412"/>
      <c r="Q57" s="412"/>
      <c r="R57" s="412"/>
      <c r="S57" s="412"/>
      <c r="T57" s="412"/>
      <c r="U57" s="413"/>
      <c r="V57" s="413"/>
      <c r="W57" s="413"/>
      <c r="X57" s="413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</row>
    <row r="58" spans="1:36" s="199" customFormat="1" ht="15.75" x14ac:dyDescent="0.25">
      <c r="A58" s="412"/>
      <c r="B58" s="412"/>
      <c r="C58" s="412"/>
      <c r="D58" s="412"/>
      <c r="E58" s="412"/>
      <c r="F58" s="412"/>
      <c r="G58" s="412"/>
      <c r="H58" s="412"/>
      <c r="I58" s="413"/>
      <c r="J58" s="413"/>
      <c r="K58" s="413"/>
      <c r="L58" s="414"/>
      <c r="M58" s="412"/>
      <c r="N58" s="412"/>
      <c r="O58" s="412"/>
      <c r="P58" s="412"/>
      <c r="Q58" s="412"/>
      <c r="R58" s="412"/>
      <c r="S58" s="412"/>
      <c r="T58" s="412"/>
      <c r="U58" s="413"/>
      <c r="V58" s="413"/>
      <c r="W58" s="413"/>
      <c r="X58" s="413"/>
      <c r="Y58" s="198"/>
      <c r="Z58" s="198"/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</row>
    <row r="59" spans="1:36" ht="15.75" x14ac:dyDescent="0.25">
      <c r="A59" s="412"/>
      <c r="B59" s="412"/>
      <c r="C59" s="412"/>
      <c r="D59" s="412"/>
      <c r="E59" s="412"/>
      <c r="F59" s="412"/>
      <c r="G59" s="412"/>
      <c r="H59" s="412"/>
      <c r="I59" s="413"/>
      <c r="J59" s="413"/>
      <c r="K59" s="413"/>
      <c r="L59" s="414"/>
      <c r="M59" s="412"/>
      <c r="N59" s="412"/>
      <c r="O59" s="412"/>
      <c r="P59" s="412"/>
      <c r="Q59" s="412"/>
      <c r="R59" s="412"/>
      <c r="S59" s="412"/>
      <c r="T59" s="412"/>
      <c r="U59" s="413"/>
      <c r="V59" s="413"/>
      <c r="W59" s="413"/>
      <c r="X59" s="413"/>
    </row>
  </sheetData>
  <mergeCells count="72">
    <mergeCell ref="D51:H51"/>
    <mergeCell ref="D52:H52"/>
    <mergeCell ref="A36:H36"/>
    <mergeCell ref="I36:K36"/>
    <mergeCell ref="L36:S36"/>
    <mergeCell ref="D48:H48"/>
    <mergeCell ref="D49:H49"/>
    <mergeCell ref="D50:H50"/>
    <mergeCell ref="AI34:AI35"/>
    <mergeCell ref="AW34:AW35"/>
    <mergeCell ref="AL34:AL35"/>
    <mergeCell ref="AM34:AM35"/>
    <mergeCell ref="AN34:AN35"/>
    <mergeCell ref="AO34:AO35"/>
    <mergeCell ref="AP34:AP35"/>
    <mergeCell ref="AQ34:AQ35"/>
    <mergeCell ref="AR34:AR35"/>
    <mergeCell ref="AS34:AS35"/>
    <mergeCell ref="AT34:AT35"/>
    <mergeCell ref="AU34:AU35"/>
    <mergeCell ref="AV34:AV35"/>
    <mergeCell ref="Y31:AJ33"/>
    <mergeCell ref="AK31:AK35"/>
    <mergeCell ref="AL31:AW33"/>
    <mergeCell ref="AX31:AX35"/>
    <mergeCell ref="AY31:AY35"/>
    <mergeCell ref="AJ34:AJ35"/>
    <mergeCell ref="Y34:Y35"/>
    <mergeCell ref="Z34:Z35"/>
    <mergeCell ref="AA34:AA35"/>
    <mergeCell ref="AB34:AB35"/>
    <mergeCell ref="AC34:AC35"/>
    <mergeCell ref="AD34:AD35"/>
    <mergeCell ref="AE34:AE35"/>
    <mergeCell ref="AF34:AF35"/>
    <mergeCell ref="AG34:AG35"/>
    <mergeCell ref="AH34:AH35"/>
    <mergeCell ref="A24:I24"/>
    <mergeCell ref="A28:I28"/>
    <mergeCell ref="A29:X29"/>
    <mergeCell ref="A30:X30"/>
    <mergeCell ref="A31:H35"/>
    <mergeCell ref="I31:K35"/>
    <mergeCell ref="L31:V32"/>
    <mergeCell ref="W31:W33"/>
    <mergeCell ref="X31:X35"/>
    <mergeCell ref="L33:S35"/>
    <mergeCell ref="T33:T35"/>
    <mergeCell ref="U33:U35"/>
    <mergeCell ref="V33:V35"/>
    <mergeCell ref="W34:W35"/>
    <mergeCell ref="V23:X23"/>
    <mergeCell ref="A14:I14"/>
    <mergeCell ref="J14:U14"/>
    <mergeCell ref="V14:X14"/>
    <mergeCell ref="A15:I15"/>
    <mergeCell ref="A16:I19"/>
    <mergeCell ref="V16:X16"/>
    <mergeCell ref="V17:X17"/>
    <mergeCell ref="V18:X18"/>
    <mergeCell ref="V19:X19"/>
    <mergeCell ref="A20:I20"/>
    <mergeCell ref="V20:X20"/>
    <mergeCell ref="V21:X21"/>
    <mergeCell ref="K22:U22"/>
    <mergeCell ref="V22:X22"/>
    <mergeCell ref="A13:X13"/>
    <mergeCell ref="V3:X3"/>
    <mergeCell ref="A5:X5"/>
    <mergeCell ref="A6:X6"/>
    <mergeCell ref="A7:I7"/>
    <mergeCell ref="A9:I9"/>
  </mergeCells>
  <pageMargins left="0.85" right="0" top="1" bottom="1.5" header="0.42" footer="0.31"/>
  <pageSetup paperSize="124" scale="57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9BF7B-D03B-49E0-8DE6-CCAF42191D20}">
  <dimension ref="A1:AY82"/>
  <sheetViews>
    <sheetView showGridLines="0" topLeftCell="I36" zoomScale="70" zoomScaleNormal="70" zoomScaleSheetLayoutView="70" zoomScalePageLayoutView="40" workbookViewId="0">
      <selection activeCell="W53" sqref="W53"/>
    </sheetView>
  </sheetViews>
  <sheetFormatPr defaultColWidth="9.140625" defaultRowHeight="12.75" x14ac:dyDescent="0.2"/>
  <cols>
    <col min="1" max="1" width="35.42578125" style="415" bestFit="1" customWidth="1"/>
    <col min="2" max="3" width="2.28515625" style="415" bestFit="1" customWidth="1"/>
    <col min="4" max="6" width="3.42578125" style="415" bestFit="1" customWidth="1"/>
    <col min="7" max="7" width="5.85546875" style="415" bestFit="1" customWidth="1"/>
    <col min="8" max="8" width="3.7109375" style="415" customWidth="1"/>
    <col min="9" max="9" width="2" style="176" customWidth="1"/>
    <col min="10" max="10" width="50" style="176" bestFit="1" customWidth="1"/>
    <col min="11" max="11" width="1" style="176" customWidth="1"/>
    <col min="12" max="12" width="2.28515625" style="416" bestFit="1" customWidth="1"/>
    <col min="13" max="13" width="3.85546875" style="415" bestFit="1" customWidth="1"/>
    <col min="14" max="14" width="2.28515625" style="415" bestFit="1" customWidth="1"/>
    <col min="15" max="15" width="3.42578125" style="415" bestFit="1" customWidth="1"/>
    <col min="16" max="16" width="6.42578125" style="415" bestFit="1" customWidth="1"/>
    <col min="17" max="17" width="2.28515625" style="415" bestFit="1" customWidth="1"/>
    <col min="18" max="18" width="3.42578125" style="415" bestFit="1" customWidth="1"/>
    <col min="19" max="19" width="6.140625" style="415" bestFit="1" customWidth="1"/>
    <col min="20" max="20" width="8.28515625" style="415" bestFit="1" customWidth="1"/>
    <col min="21" max="21" width="7.42578125" style="176" bestFit="1" customWidth="1"/>
    <col min="22" max="22" width="31.85546875" style="176" bestFit="1" customWidth="1"/>
    <col min="23" max="23" width="13.42578125" style="176" bestFit="1" customWidth="1"/>
    <col min="24" max="24" width="8.5703125" style="176" bestFit="1" customWidth="1"/>
    <col min="25" max="31" width="8.5703125" style="175" bestFit="1" customWidth="1"/>
    <col min="32" max="32" width="10.28515625" style="175" bestFit="1" customWidth="1"/>
    <col min="33" max="33" width="8.5703125" style="175" bestFit="1" customWidth="1"/>
    <col min="34" max="34" width="10.28515625" style="175" bestFit="1" customWidth="1"/>
    <col min="35" max="36" width="8.5703125" style="175" bestFit="1" customWidth="1"/>
    <col min="37" max="37" width="11.42578125" style="176" bestFit="1" customWidth="1"/>
    <col min="38" max="46" width="2.5703125" style="176" bestFit="1" customWidth="1"/>
    <col min="47" max="49" width="3.85546875" style="176" bestFit="1" customWidth="1"/>
    <col min="50" max="50" width="8.28515625" style="176" bestFit="1" customWidth="1"/>
    <col min="51" max="51" width="11.42578125" style="176" bestFit="1" customWidth="1"/>
    <col min="52" max="16384" width="9.140625" style="176"/>
  </cols>
  <sheetData>
    <row r="1" spans="1:36" ht="14.25" customHeight="1" x14ac:dyDescent="0.2">
      <c r="A1" s="169"/>
      <c r="B1" s="170"/>
      <c r="C1" s="170"/>
      <c r="D1" s="170"/>
      <c r="E1" s="170"/>
      <c r="F1" s="170"/>
      <c r="G1" s="170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2"/>
      <c r="U1" s="171"/>
      <c r="V1" s="173"/>
      <c r="W1" s="171"/>
      <c r="X1" s="174"/>
    </row>
    <row r="2" spans="1:36" ht="18.75" customHeight="1" x14ac:dyDescent="0.4">
      <c r="A2" s="177"/>
      <c r="B2" s="178"/>
      <c r="C2" s="178"/>
      <c r="D2" s="178"/>
      <c r="E2" s="178"/>
      <c r="F2" s="178"/>
      <c r="G2" s="178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80"/>
      <c r="U2" s="179"/>
      <c r="V2" s="181"/>
      <c r="W2" s="179"/>
      <c r="X2" s="182"/>
    </row>
    <row r="3" spans="1:36" ht="24.75" customHeight="1" x14ac:dyDescent="0.2">
      <c r="A3" s="183"/>
      <c r="B3" s="184"/>
      <c r="C3" s="184"/>
      <c r="D3" s="184"/>
      <c r="E3" s="184"/>
      <c r="F3" s="184"/>
      <c r="G3" s="184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6"/>
      <c r="U3" s="185"/>
      <c r="V3" s="562" t="s">
        <v>21</v>
      </c>
      <c r="W3" s="563"/>
      <c r="X3" s="564"/>
    </row>
    <row r="4" spans="1:36" ht="32.25" customHeight="1" thickBot="1" x14ac:dyDescent="0.25">
      <c r="A4" s="187"/>
      <c r="B4" s="188"/>
      <c r="C4" s="188"/>
      <c r="D4" s="188"/>
      <c r="E4" s="188"/>
      <c r="F4" s="188"/>
      <c r="G4" s="188"/>
      <c r="H4" s="189"/>
      <c r="I4" s="189"/>
      <c r="J4" s="189"/>
      <c r="K4" s="190"/>
      <c r="L4" s="189"/>
      <c r="M4" s="189"/>
      <c r="N4" s="189"/>
      <c r="O4" s="189"/>
      <c r="P4" s="189"/>
      <c r="Q4" s="189"/>
      <c r="R4" s="189"/>
      <c r="S4" s="189"/>
      <c r="T4" s="190"/>
      <c r="U4" s="189"/>
      <c r="V4" s="191"/>
      <c r="W4" s="192">
        <v>1</v>
      </c>
      <c r="X4" s="193"/>
    </row>
    <row r="5" spans="1:36" ht="21" customHeight="1" x14ac:dyDescent="0.2">
      <c r="A5" s="565" t="s">
        <v>1</v>
      </c>
      <c r="B5" s="566"/>
      <c r="C5" s="566"/>
      <c r="D5" s="566"/>
      <c r="E5" s="566"/>
      <c r="F5" s="566"/>
      <c r="G5" s="566"/>
      <c r="H5" s="566"/>
      <c r="I5" s="566"/>
      <c r="J5" s="566"/>
      <c r="K5" s="566"/>
      <c r="L5" s="566"/>
      <c r="M5" s="566"/>
      <c r="N5" s="566"/>
      <c r="O5" s="566"/>
      <c r="P5" s="566"/>
      <c r="Q5" s="566"/>
      <c r="R5" s="566"/>
      <c r="S5" s="566"/>
      <c r="T5" s="566"/>
      <c r="U5" s="566"/>
      <c r="V5" s="566"/>
      <c r="W5" s="566"/>
      <c r="X5" s="567"/>
    </row>
    <row r="6" spans="1:36" ht="21" customHeight="1" x14ac:dyDescent="0.2">
      <c r="A6" s="568" t="s">
        <v>836</v>
      </c>
      <c r="B6" s="569"/>
      <c r="C6" s="569"/>
      <c r="D6" s="569"/>
      <c r="E6" s="569"/>
      <c r="F6" s="569"/>
      <c r="G6" s="569"/>
      <c r="H6" s="569"/>
      <c r="I6" s="569"/>
      <c r="J6" s="569"/>
      <c r="K6" s="569"/>
      <c r="L6" s="569"/>
      <c r="M6" s="569"/>
      <c r="N6" s="569"/>
      <c r="O6" s="569"/>
      <c r="P6" s="569"/>
      <c r="Q6" s="569"/>
      <c r="R6" s="569"/>
      <c r="S6" s="569"/>
      <c r="T6" s="569"/>
      <c r="U6" s="569"/>
      <c r="V6" s="569"/>
      <c r="W6" s="569"/>
      <c r="X6" s="570"/>
    </row>
    <row r="7" spans="1:36" s="199" customFormat="1" ht="15" customHeight="1" x14ac:dyDescent="0.25">
      <c r="A7" s="571" t="s">
        <v>45</v>
      </c>
      <c r="B7" s="572"/>
      <c r="C7" s="572"/>
      <c r="D7" s="572"/>
      <c r="E7" s="572"/>
      <c r="F7" s="572"/>
      <c r="G7" s="572"/>
      <c r="H7" s="572"/>
      <c r="I7" s="572"/>
      <c r="J7" s="195" t="s">
        <v>113</v>
      </c>
      <c r="K7" s="196" t="s">
        <v>114</v>
      </c>
      <c r="L7" s="196"/>
      <c r="M7" s="196"/>
      <c r="N7" s="196"/>
      <c r="O7" s="196"/>
      <c r="P7" s="196"/>
      <c r="Q7" s="196"/>
      <c r="R7" s="196"/>
      <c r="S7" s="196"/>
      <c r="T7" s="196"/>
      <c r="U7" s="196"/>
      <c r="V7" s="196"/>
      <c r="W7" s="196"/>
      <c r="X7" s="197"/>
      <c r="Y7" s="198"/>
      <c r="Z7" s="198"/>
      <c r="AA7" s="198"/>
      <c r="AB7" s="198"/>
      <c r="AC7" s="198"/>
      <c r="AD7" s="198"/>
      <c r="AE7" s="198"/>
      <c r="AF7" s="198"/>
      <c r="AG7" s="198"/>
      <c r="AH7" s="198"/>
      <c r="AI7" s="198"/>
      <c r="AJ7" s="198"/>
    </row>
    <row r="8" spans="1:36" s="199" customFormat="1" ht="15" customHeight="1" x14ac:dyDescent="0.25">
      <c r="A8" s="194" t="s">
        <v>115</v>
      </c>
      <c r="B8" s="195"/>
      <c r="C8" s="195"/>
      <c r="D8" s="195"/>
      <c r="E8" s="195"/>
      <c r="F8" s="195"/>
      <c r="G8" s="195"/>
      <c r="H8" s="195"/>
      <c r="I8" s="195"/>
      <c r="J8" s="195" t="s">
        <v>113</v>
      </c>
      <c r="K8" s="200" t="s">
        <v>642</v>
      </c>
      <c r="L8" s="200"/>
      <c r="T8" s="200"/>
      <c r="U8" s="200"/>
      <c r="V8" s="200"/>
      <c r="W8" s="200"/>
      <c r="X8" s="201"/>
      <c r="Y8" s="198"/>
      <c r="Z8" s="198"/>
      <c r="AA8" s="198"/>
      <c r="AB8" s="198"/>
      <c r="AC8" s="198"/>
      <c r="AD8" s="198"/>
      <c r="AE8" s="198"/>
      <c r="AF8" s="198"/>
      <c r="AG8" s="198"/>
      <c r="AH8" s="198"/>
      <c r="AI8" s="198"/>
      <c r="AJ8" s="198"/>
    </row>
    <row r="9" spans="1:36" s="199" customFormat="1" ht="15" customHeight="1" x14ac:dyDescent="0.25">
      <c r="A9" s="573" t="s">
        <v>116</v>
      </c>
      <c r="B9" s="574"/>
      <c r="C9" s="574"/>
      <c r="D9" s="574"/>
      <c r="E9" s="574"/>
      <c r="F9" s="574"/>
      <c r="G9" s="574"/>
      <c r="H9" s="574"/>
      <c r="I9" s="574"/>
      <c r="J9" s="203" t="s">
        <v>113</v>
      </c>
      <c r="K9" s="204" t="s">
        <v>661</v>
      </c>
      <c r="L9" s="196"/>
      <c r="M9" s="204"/>
      <c r="N9" s="204"/>
      <c r="O9" s="204"/>
      <c r="P9" s="204"/>
      <c r="Q9" s="204"/>
      <c r="R9" s="204"/>
      <c r="S9" s="204"/>
      <c r="T9" s="196"/>
      <c r="U9" s="196"/>
      <c r="V9" s="196"/>
      <c r="W9" s="196"/>
      <c r="X9" s="197"/>
      <c r="Y9" s="198"/>
      <c r="Z9" s="198"/>
      <c r="AA9" s="198"/>
      <c r="AB9" s="198"/>
      <c r="AC9" s="198"/>
      <c r="AD9" s="198"/>
      <c r="AE9" s="198"/>
      <c r="AF9" s="198"/>
      <c r="AG9" s="198"/>
      <c r="AH9" s="198"/>
      <c r="AI9" s="198"/>
      <c r="AJ9" s="198"/>
    </row>
    <row r="10" spans="1:36" s="199" customFormat="1" ht="14.25" customHeight="1" x14ac:dyDescent="0.25">
      <c r="A10" s="202" t="s">
        <v>117</v>
      </c>
      <c r="B10" s="203"/>
      <c r="C10" s="205"/>
      <c r="D10" s="205"/>
      <c r="E10" s="205"/>
      <c r="F10" s="205"/>
      <c r="G10" s="205"/>
      <c r="H10" s="205"/>
      <c r="I10" s="203"/>
      <c r="J10" s="195" t="s">
        <v>113</v>
      </c>
      <c r="K10" s="206" t="s">
        <v>616</v>
      </c>
      <c r="L10" s="196"/>
      <c r="M10" s="196"/>
      <c r="N10" s="196"/>
      <c r="O10" s="196"/>
      <c r="P10" s="196"/>
      <c r="Q10" s="196"/>
      <c r="R10" s="196"/>
      <c r="S10" s="196"/>
      <c r="T10" s="207"/>
      <c r="U10" s="196"/>
      <c r="V10" s="196"/>
      <c r="W10" s="196"/>
      <c r="X10" s="197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</row>
    <row r="11" spans="1:36" s="199" customFormat="1" ht="14.25" customHeight="1" x14ac:dyDescent="0.25">
      <c r="A11" s="208" t="s">
        <v>118</v>
      </c>
      <c r="B11" s="209"/>
      <c r="C11" s="210"/>
      <c r="D11" s="210"/>
      <c r="E11" s="210"/>
      <c r="F11" s="210"/>
      <c r="G11" s="210"/>
      <c r="H11" s="210"/>
      <c r="I11" s="209"/>
      <c r="J11" s="195" t="s">
        <v>119</v>
      </c>
      <c r="K11" s="206" t="s">
        <v>114</v>
      </c>
      <c r="L11" s="211"/>
      <c r="M11" s="211"/>
      <c r="N11" s="211"/>
      <c r="O11" s="211"/>
      <c r="P11" s="211"/>
      <c r="Q11" s="211"/>
      <c r="R11" s="211"/>
      <c r="S11" s="211"/>
      <c r="T11" s="212"/>
      <c r="U11" s="211"/>
      <c r="V11" s="211"/>
      <c r="W11" s="211"/>
      <c r="X11" s="213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</row>
    <row r="12" spans="1:36" s="199" customFormat="1" ht="15.75" x14ac:dyDescent="0.25">
      <c r="A12" s="208" t="s">
        <v>120</v>
      </c>
      <c r="B12" s="209"/>
      <c r="C12" s="210"/>
      <c r="D12" s="210"/>
      <c r="E12" s="210"/>
      <c r="F12" s="210"/>
      <c r="G12" s="210"/>
      <c r="H12" s="210"/>
      <c r="I12" s="209"/>
      <c r="J12" s="195" t="s">
        <v>113</v>
      </c>
      <c r="K12" s="214" t="s">
        <v>789</v>
      </c>
      <c r="L12" s="211"/>
      <c r="M12" s="211"/>
      <c r="N12" s="211"/>
      <c r="O12" s="211"/>
      <c r="P12" s="211"/>
      <c r="Q12" s="211"/>
      <c r="R12" s="211"/>
      <c r="S12" s="211"/>
      <c r="T12" s="212"/>
      <c r="U12" s="211"/>
      <c r="V12" s="211"/>
      <c r="W12" s="211"/>
      <c r="X12" s="213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</row>
    <row r="13" spans="1:36" s="199" customFormat="1" ht="18" customHeight="1" x14ac:dyDescent="0.25">
      <c r="A13" s="559" t="s">
        <v>121</v>
      </c>
      <c r="B13" s="560"/>
      <c r="C13" s="560"/>
      <c r="D13" s="560"/>
      <c r="E13" s="560"/>
      <c r="F13" s="560"/>
      <c r="G13" s="560"/>
      <c r="H13" s="560"/>
      <c r="I13" s="560"/>
      <c r="J13" s="560"/>
      <c r="K13" s="560"/>
      <c r="L13" s="560"/>
      <c r="M13" s="560"/>
      <c r="N13" s="560"/>
      <c r="O13" s="560"/>
      <c r="P13" s="560"/>
      <c r="Q13" s="560"/>
      <c r="R13" s="560"/>
      <c r="S13" s="560"/>
      <c r="T13" s="560"/>
      <c r="U13" s="560"/>
      <c r="V13" s="560"/>
      <c r="W13" s="560"/>
      <c r="X13" s="561"/>
    </row>
    <row r="14" spans="1:36" s="199" customFormat="1" ht="15.75" x14ac:dyDescent="0.25">
      <c r="A14" s="578" t="s">
        <v>122</v>
      </c>
      <c r="B14" s="579"/>
      <c r="C14" s="579"/>
      <c r="D14" s="579"/>
      <c r="E14" s="579"/>
      <c r="F14" s="579"/>
      <c r="G14" s="579"/>
      <c r="H14" s="579"/>
      <c r="I14" s="580"/>
      <c r="J14" s="581" t="s">
        <v>123</v>
      </c>
      <c r="K14" s="579"/>
      <c r="L14" s="579"/>
      <c r="M14" s="579"/>
      <c r="N14" s="579"/>
      <c r="O14" s="579"/>
      <c r="P14" s="579"/>
      <c r="Q14" s="579"/>
      <c r="R14" s="579"/>
      <c r="S14" s="579"/>
      <c r="T14" s="579"/>
      <c r="U14" s="579"/>
      <c r="V14" s="581" t="s">
        <v>124</v>
      </c>
      <c r="W14" s="579"/>
      <c r="X14" s="582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</row>
    <row r="15" spans="1:36" s="199" customFormat="1" ht="17.25" customHeight="1" x14ac:dyDescent="0.25">
      <c r="A15" s="573" t="s">
        <v>125</v>
      </c>
      <c r="B15" s="574"/>
      <c r="C15" s="574"/>
      <c r="D15" s="574"/>
      <c r="E15" s="574"/>
      <c r="F15" s="574"/>
      <c r="G15" s="574"/>
      <c r="H15" s="574"/>
      <c r="I15" s="583"/>
      <c r="J15" s="203" t="s">
        <v>119</v>
      </c>
      <c r="K15" s="200"/>
      <c r="L15" s="196"/>
      <c r="M15" s="196"/>
      <c r="N15" s="196"/>
      <c r="O15" s="196"/>
      <c r="P15" s="196"/>
      <c r="Q15" s="196"/>
      <c r="R15" s="196"/>
      <c r="S15" s="196"/>
      <c r="T15" s="207"/>
      <c r="U15" s="196"/>
      <c r="V15" s="215"/>
      <c r="W15" s="196"/>
      <c r="X15" s="197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</row>
    <row r="16" spans="1:36" s="199" customFormat="1" ht="15.75" customHeight="1" x14ac:dyDescent="0.25">
      <c r="A16" s="571" t="s">
        <v>126</v>
      </c>
      <c r="B16" s="572"/>
      <c r="C16" s="572"/>
      <c r="D16" s="572"/>
      <c r="E16" s="572"/>
      <c r="F16" s="572"/>
      <c r="G16" s="572"/>
      <c r="H16" s="572"/>
      <c r="I16" s="584"/>
      <c r="J16" s="216" t="s">
        <v>119</v>
      </c>
      <c r="K16" s="217" t="s">
        <v>127</v>
      </c>
      <c r="L16" s="217"/>
      <c r="M16" s="217"/>
      <c r="N16" s="217"/>
      <c r="O16" s="217"/>
      <c r="P16" s="217"/>
      <c r="Q16" s="217"/>
      <c r="R16" s="217"/>
      <c r="S16" s="217"/>
      <c r="T16" s="218"/>
      <c r="U16" s="217"/>
      <c r="V16" s="591"/>
      <c r="W16" s="592"/>
      <c r="X16" s="593"/>
      <c r="Y16" s="198"/>
      <c r="Z16" s="198"/>
      <c r="AA16" s="198"/>
      <c r="AB16" s="198"/>
      <c r="AC16" s="198"/>
      <c r="AD16" s="198"/>
      <c r="AE16" s="198"/>
      <c r="AF16" s="198"/>
      <c r="AG16" s="198"/>
      <c r="AH16" s="198"/>
      <c r="AI16" s="198"/>
      <c r="AJ16" s="198"/>
    </row>
    <row r="17" spans="1:36" s="199" customFormat="1" ht="15.75" customHeight="1" x14ac:dyDescent="0.25">
      <c r="A17" s="585"/>
      <c r="B17" s="586"/>
      <c r="C17" s="586"/>
      <c r="D17" s="586"/>
      <c r="E17" s="586"/>
      <c r="F17" s="586"/>
      <c r="G17" s="586"/>
      <c r="H17" s="586"/>
      <c r="I17" s="587"/>
      <c r="J17" s="222" t="s">
        <v>119</v>
      </c>
      <c r="K17" s="223" t="s">
        <v>128</v>
      </c>
      <c r="L17" s="223"/>
      <c r="M17" s="223"/>
      <c r="N17" s="223"/>
      <c r="O17" s="223"/>
      <c r="P17" s="223"/>
      <c r="Q17" s="223"/>
      <c r="R17" s="223"/>
      <c r="S17" s="223"/>
      <c r="T17" s="224"/>
      <c r="U17" s="223"/>
      <c r="V17" s="594"/>
      <c r="W17" s="595"/>
      <c r="X17" s="596"/>
      <c r="Y17" s="198"/>
      <c r="Z17" s="198"/>
      <c r="AA17" s="198"/>
      <c r="AB17" s="198"/>
      <c r="AC17" s="198"/>
      <c r="AD17" s="198"/>
      <c r="AE17" s="198"/>
      <c r="AF17" s="198"/>
      <c r="AG17" s="198"/>
      <c r="AH17" s="198"/>
      <c r="AI17" s="198"/>
      <c r="AJ17" s="198"/>
    </row>
    <row r="18" spans="1:36" s="199" customFormat="1" ht="13.5" customHeight="1" x14ac:dyDescent="0.25">
      <c r="A18" s="585"/>
      <c r="B18" s="586"/>
      <c r="C18" s="586"/>
      <c r="D18" s="586"/>
      <c r="E18" s="586"/>
      <c r="F18" s="586"/>
      <c r="G18" s="586"/>
      <c r="H18" s="586"/>
      <c r="I18" s="587"/>
      <c r="J18" s="222" t="s">
        <v>119</v>
      </c>
      <c r="K18" s="223" t="s">
        <v>129</v>
      </c>
      <c r="L18" s="223"/>
      <c r="M18" s="223"/>
      <c r="N18" s="223"/>
      <c r="O18" s="223"/>
      <c r="P18" s="223"/>
      <c r="Q18" s="223"/>
      <c r="R18" s="223"/>
      <c r="S18" s="223"/>
      <c r="T18" s="224"/>
      <c r="U18" s="223"/>
      <c r="V18" s="594"/>
      <c r="W18" s="595"/>
      <c r="X18" s="596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</row>
    <row r="19" spans="1:36" s="199" customFormat="1" ht="15.75" customHeight="1" x14ac:dyDescent="0.25">
      <c r="A19" s="588"/>
      <c r="B19" s="589"/>
      <c r="C19" s="589"/>
      <c r="D19" s="589"/>
      <c r="E19" s="589"/>
      <c r="F19" s="589"/>
      <c r="G19" s="589"/>
      <c r="H19" s="589"/>
      <c r="I19" s="590"/>
      <c r="J19" s="226" t="s">
        <v>119</v>
      </c>
      <c r="K19" s="211" t="s">
        <v>130</v>
      </c>
      <c r="L19" s="211"/>
      <c r="M19" s="211"/>
      <c r="N19" s="211"/>
      <c r="O19" s="211"/>
      <c r="P19" s="211"/>
      <c r="Q19" s="211"/>
      <c r="R19" s="211"/>
      <c r="S19" s="211"/>
      <c r="T19" s="212"/>
      <c r="U19" s="211"/>
      <c r="V19" s="597"/>
      <c r="W19" s="598"/>
      <c r="X19" s="599"/>
      <c r="Y19" s="198"/>
      <c r="Z19" s="198"/>
      <c r="AA19" s="198"/>
      <c r="AB19" s="198"/>
      <c r="AC19" s="198"/>
      <c r="AD19" s="198"/>
      <c r="AE19" s="198"/>
      <c r="AF19" s="198"/>
      <c r="AG19" s="198"/>
      <c r="AH19" s="198"/>
      <c r="AI19" s="198"/>
      <c r="AJ19" s="198"/>
    </row>
    <row r="20" spans="1:36" s="199" customFormat="1" ht="15.75" customHeight="1" x14ac:dyDescent="0.25">
      <c r="A20" s="585" t="s">
        <v>131</v>
      </c>
      <c r="B20" s="586"/>
      <c r="C20" s="586"/>
      <c r="D20" s="586"/>
      <c r="E20" s="586"/>
      <c r="F20" s="586"/>
      <c r="G20" s="586"/>
      <c r="H20" s="586"/>
      <c r="I20" s="587"/>
      <c r="J20" s="220" t="s">
        <v>119</v>
      </c>
      <c r="K20" s="200" t="s">
        <v>662</v>
      </c>
      <c r="L20" s="196"/>
      <c r="M20" s="196"/>
      <c r="N20" s="196"/>
      <c r="O20" s="196"/>
      <c r="P20" s="196"/>
      <c r="Q20" s="196"/>
      <c r="R20" s="196"/>
      <c r="S20" s="196"/>
      <c r="T20" s="207"/>
      <c r="U20" s="196"/>
      <c r="V20" s="575"/>
      <c r="W20" s="576"/>
      <c r="X20" s="577"/>
      <c r="Y20" s="198"/>
      <c r="Z20" s="198"/>
      <c r="AA20" s="198"/>
      <c r="AB20" s="198"/>
      <c r="AC20" s="198"/>
      <c r="AD20" s="198"/>
      <c r="AE20" s="198"/>
      <c r="AF20" s="198"/>
      <c r="AG20" s="198"/>
      <c r="AH20" s="198"/>
      <c r="AI20" s="198"/>
      <c r="AJ20" s="198"/>
    </row>
    <row r="21" spans="1:36" s="199" customFormat="1" ht="15.75" customHeight="1" x14ac:dyDescent="0.25">
      <c r="A21" s="219"/>
      <c r="B21" s="220"/>
      <c r="C21" s="220"/>
      <c r="D21" s="220"/>
      <c r="E21" s="220"/>
      <c r="F21" s="220"/>
      <c r="G21" s="220"/>
      <c r="H21" s="220"/>
      <c r="I21" s="221"/>
      <c r="J21" s="229"/>
      <c r="K21" s="200" t="s">
        <v>663</v>
      </c>
      <c r="L21" s="196"/>
      <c r="M21" s="196"/>
      <c r="N21" s="196"/>
      <c r="O21" s="196"/>
      <c r="P21" s="196"/>
      <c r="Q21" s="196"/>
      <c r="R21" s="196"/>
      <c r="S21" s="196"/>
      <c r="T21" s="207"/>
      <c r="U21" s="196"/>
      <c r="V21" s="575"/>
      <c r="W21" s="576"/>
      <c r="X21" s="577"/>
      <c r="Y21" s="198"/>
      <c r="Z21" s="198"/>
      <c r="AA21" s="198"/>
      <c r="AB21" s="198"/>
      <c r="AC21" s="198"/>
      <c r="AD21" s="198"/>
      <c r="AE21" s="198"/>
      <c r="AF21" s="198"/>
      <c r="AG21" s="198"/>
      <c r="AH21" s="198"/>
      <c r="AI21" s="198"/>
      <c r="AJ21" s="198"/>
    </row>
    <row r="22" spans="1:36" s="199" customFormat="1" ht="15.75" x14ac:dyDescent="0.25">
      <c r="A22" s="219"/>
      <c r="B22" s="220"/>
      <c r="C22" s="220"/>
      <c r="D22" s="220"/>
      <c r="E22" s="220"/>
      <c r="F22" s="220"/>
      <c r="G22" s="220"/>
      <c r="H22" s="220"/>
      <c r="I22" s="221"/>
      <c r="J22" s="229"/>
      <c r="K22" s="600" t="s">
        <v>664</v>
      </c>
      <c r="L22" s="600"/>
      <c r="M22" s="600"/>
      <c r="N22" s="600"/>
      <c r="O22" s="600"/>
      <c r="P22" s="600"/>
      <c r="Q22" s="600"/>
      <c r="R22" s="600"/>
      <c r="S22" s="600"/>
      <c r="T22" s="600"/>
      <c r="U22" s="601"/>
      <c r="V22" s="575"/>
      <c r="W22" s="576"/>
      <c r="X22" s="577"/>
      <c r="Y22" s="198"/>
      <c r="Z22" s="198"/>
      <c r="AA22" s="198"/>
      <c r="AB22" s="198"/>
      <c r="AC22" s="198"/>
      <c r="AD22" s="198"/>
      <c r="AE22" s="198"/>
      <c r="AF22" s="198"/>
      <c r="AG22" s="198"/>
      <c r="AH22" s="198"/>
      <c r="AI22" s="198"/>
      <c r="AJ22" s="198"/>
    </row>
    <row r="23" spans="1:36" s="199" customFormat="1" ht="15.75" customHeight="1" x14ac:dyDescent="0.25">
      <c r="A23" s="219"/>
      <c r="B23" s="220"/>
      <c r="C23" s="220"/>
      <c r="D23" s="220"/>
      <c r="E23" s="220"/>
      <c r="F23" s="220"/>
      <c r="G23" s="220"/>
      <c r="H23" s="220"/>
      <c r="I23" s="221"/>
      <c r="J23" s="229"/>
      <c r="K23" s="204" t="s">
        <v>666</v>
      </c>
      <c r="L23" s="211"/>
      <c r="M23" s="211"/>
      <c r="N23" s="211"/>
      <c r="O23" s="211"/>
      <c r="P23" s="211"/>
      <c r="Q23" s="211"/>
      <c r="R23" s="211"/>
      <c r="S23" s="211"/>
      <c r="T23" s="212"/>
      <c r="U23" s="211"/>
      <c r="V23" s="575"/>
      <c r="W23" s="576"/>
      <c r="X23" s="577"/>
      <c r="Y23" s="198"/>
      <c r="Z23" s="198"/>
      <c r="AA23" s="198"/>
      <c r="AB23" s="198"/>
      <c r="AC23" s="198"/>
      <c r="AD23" s="198"/>
      <c r="AE23" s="198"/>
      <c r="AF23" s="198"/>
      <c r="AG23" s="198"/>
      <c r="AH23" s="198"/>
      <c r="AI23" s="198"/>
      <c r="AJ23" s="198"/>
    </row>
    <row r="24" spans="1:36" s="199" customFormat="1" ht="15.75" customHeight="1" x14ac:dyDescent="0.25">
      <c r="A24" s="219"/>
      <c r="B24" s="220"/>
      <c r="C24" s="220"/>
      <c r="D24" s="220"/>
      <c r="E24" s="220"/>
      <c r="F24" s="220"/>
      <c r="G24" s="220"/>
      <c r="H24" s="220"/>
      <c r="I24" s="221"/>
      <c r="J24" s="203"/>
      <c r="K24" s="200" t="s">
        <v>783</v>
      </c>
      <c r="L24" s="211"/>
      <c r="M24" s="211"/>
      <c r="N24" s="211"/>
      <c r="O24" s="211"/>
      <c r="P24" s="211"/>
      <c r="Q24" s="211"/>
      <c r="R24" s="211"/>
      <c r="S24" s="211"/>
      <c r="T24" s="212"/>
      <c r="U24" s="211"/>
      <c r="V24" s="429"/>
      <c r="W24" s="227"/>
      <c r="X24" s="228"/>
      <c r="Y24" s="198"/>
      <c r="Z24" s="198"/>
      <c r="AA24" s="198"/>
      <c r="AB24" s="198"/>
      <c r="AC24" s="198"/>
      <c r="AD24" s="198"/>
      <c r="AE24" s="198"/>
      <c r="AF24" s="198"/>
      <c r="AG24" s="198"/>
      <c r="AH24" s="198"/>
      <c r="AI24" s="198"/>
      <c r="AJ24" s="198"/>
    </row>
    <row r="25" spans="1:36" s="199" customFormat="1" ht="15.75" customHeight="1" x14ac:dyDescent="0.25">
      <c r="A25" s="219"/>
      <c r="B25" s="220"/>
      <c r="C25" s="220"/>
      <c r="D25" s="220"/>
      <c r="E25" s="220"/>
      <c r="F25" s="220"/>
      <c r="G25" s="220"/>
      <c r="H25" s="220"/>
      <c r="I25" s="221"/>
      <c r="J25" s="203"/>
      <c r="K25" s="200" t="s">
        <v>784</v>
      </c>
      <c r="L25" s="211"/>
      <c r="M25" s="211"/>
      <c r="N25" s="211"/>
      <c r="O25" s="211"/>
      <c r="P25" s="211"/>
      <c r="Q25" s="211"/>
      <c r="R25" s="211"/>
      <c r="S25" s="211"/>
      <c r="T25" s="212"/>
      <c r="U25" s="211"/>
      <c r="V25" s="429"/>
      <c r="W25" s="227"/>
      <c r="X25" s="228"/>
      <c r="Y25" s="198"/>
      <c r="Z25" s="198"/>
      <c r="AA25" s="198"/>
      <c r="AB25" s="198"/>
      <c r="AC25" s="198"/>
      <c r="AD25" s="198"/>
      <c r="AE25" s="198"/>
      <c r="AF25" s="198"/>
      <c r="AG25" s="198"/>
      <c r="AH25" s="198"/>
      <c r="AI25" s="198"/>
      <c r="AJ25" s="198"/>
    </row>
    <row r="26" spans="1:36" s="199" customFormat="1" ht="16.5" customHeight="1" x14ac:dyDescent="0.25">
      <c r="A26" s="573" t="s">
        <v>132</v>
      </c>
      <c r="B26" s="574"/>
      <c r="C26" s="574"/>
      <c r="D26" s="574"/>
      <c r="E26" s="574"/>
      <c r="F26" s="574"/>
      <c r="G26" s="574"/>
      <c r="H26" s="574"/>
      <c r="I26" s="583"/>
      <c r="J26" s="203" t="s">
        <v>119</v>
      </c>
      <c r="K26" s="200"/>
      <c r="L26" s="196"/>
      <c r="M26" s="196"/>
      <c r="N26" s="196"/>
      <c r="O26" s="196"/>
      <c r="P26" s="196"/>
      <c r="Q26" s="196"/>
      <c r="R26" s="196"/>
      <c r="S26" s="196"/>
      <c r="T26" s="207"/>
      <c r="U26" s="196"/>
      <c r="V26" s="230"/>
      <c r="W26" s="196"/>
      <c r="X26" s="197"/>
      <c r="Y26" s="198"/>
      <c r="Z26" s="198"/>
      <c r="AA26" s="198"/>
      <c r="AB26" s="198"/>
      <c r="AC26" s="198"/>
      <c r="AD26" s="198"/>
      <c r="AE26" s="198"/>
      <c r="AF26" s="198"/>
      <c r="AG26" s="198"/>
      <c r="AH26" s="198"/>
      <c r="AI26" s="198"/>
      <c r="AJ26" s="198"/>
    </row>
    <row r="27" spans="1:36" s="199" customFormat="1" ht="16.5" customHeight="1" x14ac:dyDescent="0.25">
      <c r="A27" s="208"/>
      <c r="B27" s="209"/>
      <c r="C27" s="209"/>
      <c r="D27" s="209"/>
      <c r="E27" s="209"/>
      <c r="F27" s="209"/>
      <c r="G27" s="209"/>
      <c r="H27" s="209"/>
      <c r="I27" s="225"/>
      <c r="J27" s="209"/>
      <c r="K27" s="200"/>
      <c r="L27" s="211"/>
      <c r="M27" s="211"/>
      <c r="N27" s="211"/>
      <c r="O27" s="211"/>
      <c r="P27" s="211"/>
      <c r="Q27" s="211"/>
      <c r="R27" s="211"/>
      <c r="S27" s="211"/>
      <c r="T27" s="212"/>
      <c r="U27" s="211"/>
      <c r="V27" s="230"/>
      <c r="W27" s="211"/>
      <c r="X27" s="213"/>
      <c r="Y27" s="198"/>
      <c r="Z27" s="198"/>
      <c r="AA27" s="198"/>
      <c r="AB27" s="198"/>
      <c r="AC27" s="198"/>
      <c r="AD27" s="198"/>
      <c r="AE27" s="198"/>
      <c r="AF27" s="198"/>
      <c r="AG27" s="198"/>
      <c r="AH27" s="198"/>
      <c r="AI27" s="198"/>
      <c r="AJ27" s="198"/>
    </row>
    <row r="28" spans="1:36" s="199" customFormat="1" ht="16.5" customHeight="1" x14ac:dyDescent="0.25">
      <c r="A28" s="208"/>
      <c r="B28" s="209"/>
      <c r="C28" s="209"/>
      <c r="D28" s="209"/>
      <c r="E28" s="209"/>
      <c r="F28" s="209"/>
      <c r="G28" s="209"/>
      <c r="H28" s="209"/>
      <c r="I28" s="225"/>
      <c r="J28" s="209"/>
      <c r="K28" s="200"/>
      <c r="L28" s="211"/>
      <c r="M28" s="211"/>
      <c r="N28" s="211"/>
      <c r="O28" s="211"/>
      <c r="P28" s="211"/>
      <c r="Q28" s="211"/>
      <c r="R28" s="211"/>
      <c r="S28" s="211"/>
      <c r="T28" s="212"/>
      <c r="U28" s="211"/>
      <c r="V28" s="230"/>
      <c r="W28" s="211"/>
      <c r="X28" s="213"/>
      <c r="Y28" s="198"/>
      <c r="Z28" s="198"/>
      <c r="AA28" s="198"/>
      <c r="AB28" s="198"/>
      <c r="AC28" s="198"/>
      <c r="AD28" s="198"/>
      <c r="AE28" s="198"/>
      <c r="AF28" s="198"/>
      <c r="AG28" s="198"/>
      <c r="AH28" s="198"/>
      <c r="AI28" s="198"/>
      <c r="AJ28" s="198"/>
    </row>
    <row r="29" spans="1:36" s="199" customFormat="1" ht="16.5" customHeight="1" x14ac:dyDescent="0.25">
      <c r="A29" s="208"/>
      <c r="B29" s="209"/>
      <c r="C29" s="209"/>
      <c r="D29" s="209"/>
      <c r="E29" s="209"/>
      <c r="F29" s="209"/>
      <c r="G29" s="209"/>
      <c r="H29" s="209"/>
      <c r="I29" s="225"/>
      <c r="J29" s="209"/>
      <c r="K29" s="200"/>
      <c r="L29" s="211"/>
      <c r="M29" s="211"/>
      <c r="N29" s="211"/>
      <c r="O29" s="211"/>
      <c r="P29" s="211"/>
      <c r="Q29" s="211"/>
      <c r="R29" s="211"/>
      <c r="S29" s="211"/>
      <c r="T29" s="212"/>
      <c r="U29" s="211"/>
      <c r="V29" s="231"/>
      <c r="W29" s="211"/>
      <c r="X29" s="213"/>
      <c r="Y29" s="198"/>
      <c r="Z29" s="198"/>
      <c r="AA29" s="198"/>
      <c r="AB29" s="198"/>
      <c r="AC29" s="198"/>
      <c r="AD29" s="198"/>
      <c r="AE29" s="198"/>
      <c r="AF29" s="198"/>
      <c r="AG29" s="198"/>
      <c r="AH29" s="198"/>
      <c r="AI29" s="198"/>
      <c r="AJ29" s="198"/>
    </row>
    <row r="30" spans="1:36" s="199" customFormat="1" ht="18.75" customHeight="1" x14ac:dyDescent="0.25">
      <c r="A30" s="602" t="s">
        <v>133</v>
      </c>
      <c r="B30" s="603"/>
      <c r="C30" s="603"/>
      <c r="D30" s="603"/>
      <c r="E30" s="603"/>
      <c r="F30" s="603"/>
      <c r="G30" s="603"/>
      <c r="H30" s="603"/>
      <c r="I30" s="604"/>
      <c r="J30" s="209" t="s">
        <v>119</v>
      </c>
      <c r="K30" s="200"/>
      <c r="L30" s="211"/>
      <c r="M30" s="211"/>
      <c r="N30" s="211"/>
      <c r="O30" s="211"/>
      <c r="P30" s="211"/>
      <c r="Q30" s="211"/>
      <c r="R30" s="211"/>
      <c r="S30" s="211"/>
      <c r="T30" s="212"/>
      <c r="U30" s="211"/>
      <c r="V30" s="200"/>
      <c r="W30" s="232"/>
      <c r="X30" s="233"/>
      <c r="Y30" s="198"/>
      <c r="Z30" s="198"/>
      <c r="AA30" s="198"/>
      <c r="AB30" s="198"/>
      <c r="AC30" s="198"/>
      <c r="AD30" s="198"/>
      <c r="AE30" s="198"/>
      <c r="AF30" s="198"/>
      <c r="AG30" s="198"/>
      <c r="AH30" s="198"/>
      <c r="AI30" s="198"/>
      <c r="AJ30" s="198"/>
    </row>
    <row r="31" spans="1:36" s="199" customFormat="1" ht="15.75" x14ac:dyDescent="0.25">
      <c r="A31" s="605" t="s">
        <v>134</v>
      </c>
      <c r="B31" s="606"/>
      <c r="C31" s="606"/>
      <c r="D31" s="606"/>
      <c r="E31" s="606"/>
      <c r="F31" s="606"/>
      <c r="G31" s="606"/>
      <c r="H31" s="606"/>
      <c r="I31" s="606"/>
      <c r="J31" s="606"/>
      <c r="K31" s="606"/>
      <c r="L31" s="606"/>
      <c r="M31" s="606"/>
      <c r="N31" s="606"/>
      <c r="O31" s="606"/>
      <c r="P31" s="606"/>
      <c r="Q31" s="606"/>
      <c r="R31" s="606"/>
      <c r="S31" s="606"/>
      <c r="T31" s="606"/>
      <c r="U31" s="606"/>
      <c r="V31" s="606"/>
      <c r="W31" s="606"/>
      <c r="X31" s="607"/>
    </row>
    <row r="32" spans="1:36" s="199" customFormat="1" ht="16.5" thickBot="1" x14ac:dyDescent="0.3">
      <c r="A32" s="608" t="s">
        <v>135</v>
      </c>
      <c r="B32" s="609"/>
      <c r="C32" s="609"/>
      <c r="D32" s="609"/>
      <c r="E32" s="609"/>
      <c r="F32" s="609"/>
      <c r="G32" s="609"/>
      <c r="H32" s="609"/>
      <c r="I32" s="609"/>
      <c r="J32" s="609"/>
      <c r="K32" s="609"/>
      <c r="L32" s="609"/>
      <c r="M32" s="609"/>
      <c r="N32" s="609"/>
      <c r="O32" s="609"/>
      <c r="P32" s="609"/>
      <c r="Q32" s="609"/>
      <c r="R32" s="609"/>
      <c r="S32" s="609"/>
      <c r="T32" s="609"/>
      <c r="U32" s="609"/>
      <c r="V32" s="609"/>
      <c r="W32" s="609"/>
      <c r="X32" s="610"/>
    </row>
    <row r="33" spans="1:51" s="199" customFormat="1" ht="10.5" customHeight="1" x14ac:dyDescent="0.25">
      <c r="A33" s="611" t="s">
        <v>136</v>
      </c>
      <c r="B33" s="612"/>
      <c r="C33" s="612"/>
      <c r="D33" s="612"/>
      <c r="E33" s="612"/>
      <c r="F33" s="612"/>
      <c r="G33" s="612"/>
      <c r="H33" s="613"/>
      <c r="I33" s="620" t="s">
        <v>137</v>
      </c>
      <c r="J33" s="612"/>
      <c r="K33" s="613"/>
      <c r="L33" s="620" t="s">
        <v>138</v>
      </c>
      <c r="M33" s="612"/>
      <c r="N33" s="612"/>
      <c r="O33" s="612"/>
      <c r="P33" s="612"/>
      <c r="Q33" s="612"/>
      <c r="R33" s="612"/>
      <c r="S33" s="612"/>
      <c r="T33" s="612"/>
      <c r="U33" s="612"/>
      <c r="V33" s="613"/>
      <c r="W33" s="623" t="s">
        <v>139</v>
      </c>
      <c r="X33" s="625" t="s">
        <v>140</v>
      </c>
      <c r="Y33" s="636" t="s">
        <v>567</v>
      </c>
      <c r="Z33" s="636"/>
      <c r="AA33" s="636"/>
      <c r="AB33" s="636"/>
      <c r="AC33" s="636"/>
      <c r="AD33" s="636"/>
      <c r="AE33" s="636"/>
      <c r="AF33" s="636"/>
      <c r="AG33" s="636"/>
      <c r="AH33" s="636"/>
      <c r="AI33" s="636"/>
      <c r="AJ33" s="637"/>
      <c r="AK33" s="642" t="s">
        <v>139</v>
      </c>
      <c r="AL33" s="645" t="s">
        <v>568</v>
      </c>
      <c r="AM33" s="636"/>
      <c r="AN33" s="636"/>
      <c r="AO33" s="636"/>
      <c r="AP33" s="636"/>
      <c r="AQ33" s="636"/>
      <c r="AR33" s="636"/>
      <c r="AS33" s="636"/>
      <c r="AT33" s="636"/>
      <c r="AU33" s="636"/>
      <c r="AV33" s="636"/>
      <c r="AW33" s="637"/>
      <c r="AX33" s="642" t="s">
        <v>139</v>
      </c>
      <c r="AY33" s="648" t="s">
        <v>141</v>
      </c>
    </row>
    <row r="34" spans="1:51" s="199" customFormat="1" ht="6.75" customHeight="1" x14ac:dyDescent="0.25">
      <c r="A34" s="614"/>
      <c r="B34" s="615"/>
      <c r="C34" s="615"/>
      <c r="D34" s="615"/>
      <c r="E34" s="615"/>
      <c r="F34" s="615"/>
      <c r="G34" s="615"/>
      <c r="H34" s="616"/>
      <c r="I34" s="621"/>
      <c r="J34" s="615"/>
      <c r="K34" s="616"/>
      <c r="L34" s="621"/>
      <c r="M34" s="615"/>
      <c r="N34" s="615"/>
      <c r="O34" s="615"/>
      <c r="P34" s="615"/>
      <c r="Q34" s="615"/>
      <c r="R34" s="615"/>
      <c r="S34" s="615"/>
      <c r="T34" s="615"/>
      <c r="U34" s="615"/>
      <c r="V34" s="616"/>
      <c r="W34" s="624"/>
      <c r="X34" s="626"/>
      <c r="Y34" s="638"/>
      <c r="Z34" s="638"/>
      <c r="AA34" s="638"/>
      <c r="AB34" s="638"/>
      <c r="AC34" s="638"/>
      <c r="AD34" s="638"/>
      <c r="AE34" s="638"/>
      <c r="AF34" s="638"/>
      <c r="AG34" s="638"/>
      <c r="AH34" s="638"/>
      <c r="AI34" s="638"/>
      <c r="AJ34" s="639"/>
      <c r="AK34" s="643"/>
      <c r="AL34" s="646"/>
      <c r="AM34" s="638"/>
      <c r="AN34" s="638"/>
      <c r="AO34" s="638"/>
      <c r="AP34" s="638"/>
      <c r="AQ34" s="638"/>
      <c r="AR34" s="638"/>
      <c r="AS34" s="638"/>
      <c r="AT34" s="638"/>
      <c r="AU34" s="638"/>
      <c r="AV34" s="638"/>
      <c r="AW34" s="639"/>
      <c r="AX34" s="643"/>
      <c r="AY34" s="649"/>
    </row>
    <row r="35" spans="1:51" s="199" customFormat="1" ht="10.5" customHeight="1" thickBot="1" x14ac:dyDescent="0.3">
      <c r="A35" s="614"/>
      <c r="B35" s="615"/>
      <c r="C35" s="615"/>
      <c r="D35" s="615"/>
      <c r="E35" s="615"/>
      <c r="F35" s="615"/>
      <c r="G35" s="615"/>
      <c r="H35" s="616"/>
      <c r="I35" s="621"/>
      <c r="J35" s="615"/>
      <c r="K35" s="616"/>
      <c r="L35" s="628" t="s">
        <v>79</v>
      </c>
      <c r="M35" s="629"/>
      <c r="N35" s="629"/>
      <c r="O35" s="629"/>
      <c r="P35" s="629"/>
      <c r="Q35" s="629"/>
      <c r="R35" s="629"/>
      <c r="S35" s="630"/>
      <c r="T35" s="631" t="s">
        <v>80</v>
      </c>
      <c r="U35" s="631" t="s">
        <v>81</v>
      </c>
      <c r="V35" s="631" t="s">
        <v>82</v>
      </c>
      <c r="W35" s="624"/>
      <c r="X35" s="626"/>
      <c r="Y35" s="640"/>
      <c r="Z35" s="640"/>
      <c r="AA35" s="640"/>
      <c r="AB35" s="640"/>
      <c r="AC35" s="640"/>
      <c r="AD35" s="640"/>
      <c r="AE35" s="640"/>
      <c r="AF35" s="640"/>
      <c r="AG35" s="640"/>
      <c r="AH35" s="640"/>
      <c r="AI35" s="640"/>
      <c r="AJ35" s="641"/>
      <c r="AK35" s="643"/>
      <c r="AL35" s="647"/>
      <c r="AM35" s="640"/>
      <c r="AN35" s="640"/>
      <c r="AO35" s="640"/>
      <c r="AP35" s="640"/>
      <c r="AQ35" s="640"/>
      <c r="AR35" s="640"/>
      <c r="AS35" s="640"/>
      <c r="AT35" s="640"/>
      <c r="AU35" s="640"/>
      <c r="AV35" s="640"/>
      <c r="AW35" s="641"/>
      <c r="AX35" s="643"/>
      <c r="AY35" s="649"/>
    </row>
    <row r="36" spans="1:51" s="199" customFormat="1" ht="8.25" customHeight="1" thickBot="1" x14ac:dyDescent="0.3">
      <c r="A36" s="614"/>
      <c r="B36" s="615"/>
      <c r="C36" s="615"/>
      <c r="D36" s="615"/>
      <c r="E36" s="615"/>
      <c r="F36" s="615"/>
      <c r="G36" s="615"/>
      <c r="H36" s="616"/>
      <c r="I36" s="621"/>
      <c r="J36" s="615"/>
      <c r="K36" s="616"/>
      <c r="L36" s="621"/>
      <c r="M36" s="615"/>
      <c r="N36" s="615"/>
      <c r="O36" s="615"/>
      <c r="P36" s="615"/>
      <c r="Q36" s="615"/>
      <c r="R36" s="615"/>
      <c r="S36" s="616"/>
      <c r="T36" s="632"/>
      <c r="U36" s="632"/>
      <c r="V36" s="632"/>
      <c r="W36" s="634" t="s">
        <v>142</v>
      </c>
      <c r="X36" s="626"/>
      <c r="Y36" s="653" t="s">
        <v>50</v>
      </c>
      <c r="Z36" s="655" t="s">
        <v>53</v>
      </c>
      <c r="AA36" s="655" t="s">
        <v>55</v>
      </c>
      <c r="AB36" s="655" t="s">
        <v>57</v>
      </c>
      <c r="AC36" s="657" t="s">
        <v>59</v>
      </c>
      <c r="AD36" s="657" t="s">
        <v>61</v>
      </c>
      <c r="AE36" s="657" t="s">
        <v>101</v>
      </c>
      <c r="AF36" s="657" t="s">
        <v>107</v>
      </c>
      <c r="AG36" s="651" t="s">
        <v>143</v>
      </c>
      <c r="AH36" s="651" t="s">
        <v>144</v>
      </c>
      <c r="AI36" s="651" t="s">
        <v>145</v>
      </c>
      <c r="AJ36" s="651" t="s">
        <v>146</v>
      </c>
      <c r="AK36" s="643"/>
      <c r="AL36" s="655" t="s">
        <v>50</v>
      </c>
      <c r="AM36" s="655" t="s">
        <v>53</v>
      </c>
      <c r="AN36" s="655" t="s">
        <v>55</v>
      </c>
      <c r="AO36" s="655" t="s">
        <v>57</v>
      </c>
      <c r="AP36" s="657" t="s">
        <v>59</v>
      </c>
      <c r="AQ36" s="657" t="s">
        <v>61</v>
      </c>
      <c r="AR36" s="657" t="s">
        <v>101</v>
      </c>
      <c r="AS36" s="657" t="s">
        <v>107</v>
      </c>
      <c r="AT36" s="651" t="s">
        <v>143</v>
      </c>
      <c r="AU36" s="651" t="s">
        <v>144</v>
      </c>
      <c r="AV36" s="651" t="s">
        <v>145</v>
      </c>
      <c r="AW36" s="651" t="s">
        <v>146</v>
      </c>
      <c r="AX36" s="643"/>
      <c r="AY36" s="649"/>
    </row>
    <row r="37" spans="1:51" s="199" customFormat="1" ht="12.75" customHeight="1" thickBot="1" x14ac:dyDescent="0.3">
      <c r="A37" s="617"/>
      <c r="B37" s="618"/>
      <c r="C37" s="618"/>
      <c r="D37" s="618"/>
      <c r="E37" s="618"/>
      <c r="F37" s="618"/>
      <c r="G37" s="618"/>
      <c r="H37" s="619"/>
      <c r="I37" s="622"/>
      <c r="J37" s="618"/>
      <c r="K37" s="619"/>
      <c r="L37" s="622"/>
      <c r="M37" s="618"/>
      <c r="N37" s="618"/>
      <c r="O37" s="618"/>
      <c r="P37" s="618"/>
      <c r="Q37" s="618"/>
      <c r="R37" s="618"/>
      <c r="S37" s="619"/>
      <c r="T37" s="633"/>
      <c r="U37" s="633"/>
      <c r="V37" s="633"/>
      <c r="W37" s="635"/>
      <c r="X37" s="627"/>
      <c r="Y37" s="654"/>
      <c r="Z37" s="656"/>
      <c r="AA37" s="656"/>
      <c r="AB37" s="656"/>
      <c r="AC37" s="658"/>
      <c r="AD37" s="658"/>
      <c r="AE37" s="658"/>
      <c r="AF37" s="658"/>
      <c r="AG37" s="652"/>
      <c r="AH37" s="652"/>
      <c r="AI37" s="652"/>
      <c r="AJ37" s="652"/>
      <c r="AK37" s="644"/>
      <c r="AL37" s="656"/>
      <c r="AM37" s="656"/>
      <c r="AN37" s="656"/>
      <c r="AO37" s="656"/>
      <c r="AP37" s="658"/>
      <c r="AQ37" s="658"/>
      <c r="AR37" s="658"/>
      <c r="AS37" s="658"/>
      <c r="AT37" s="652"/>
      <c r="AU37" s="652"/>
      <c r="AV37" s="652"/>
      <c r="AW37" s="652"/>
      <c r="AX37" s="644"/>
      <c r="AY37" s="650"/>
    </row>
    <row r="38" spans="1:51" s="199" customFormat="1" ht="15.75" x14ac:dyDescent="0.25">
      <c r="A38" s="661">
        <v>1</v>
      </c>
      <c r="B38" s="662"/>
      <c r="C38" s="662"/>
      <c r="D38" s="662"/>
      <c r="E38" s="662"/>
      <c r="F38" s="662"/>
      <c r="G38" s="662"/>
      <c r="H38" s="663"/>
      <c r="I38" s="664">
        <v>2</v>
      </c>
      <c r="J38" s="665"/>
      <c r="K38" s="666"/>
      <c r="L38" s="664">
        <v>3</v>
      </c>
      <c r="M38" s="665"/>
      <c r="N38" s="665"/>
      <c r="O38" s="665"/>
      <c r="P38" s="665"/>
      <c r="Q38" s="665"/>
      <c r="R38" s="665"/>
      <c r="S38" s="665"/>
      <c r="T38" s="234">
        <v>4</v>
      </c>
      <c r="U38" s="235">
        <v>5</v>
      </c>
      <c r="V38" s="236">
        <v>6</v>
      </c>
      <c r="W38" s="237" t="s">
        <v>147</v>
      </c>
      <c r="X38" s="237">
        <v>8</v>
      </c>
      <c r="Y38" s="238"/>
      <c r="Z38" s="239"/>
      <c r="AA38" s="239"/>
      <c r="AB38" s="239"/>
      <c r="AC38" s="240"/>
      <c r="AD38" s="240"/>
      <c r="AE38" s="240"/>
      <c r="AF38" s="240"/>
      <c r="AG38" s="241"/>
      <c r="AH38" s="241"/>
      <c r="AI38" s="241"/>
      <c r="AJ38" s="242"/>
      <c r="AK38" s="243"/>
      <c r="AL38" s="244"/>
      <c r="AM38" s="239"/>
      <c r="AN38" s="239"/>
      <c r="AO38" s="239"/>
      <c r="AP38" s="240"/>
      <c r="AQ38" s="240"/>
      <c r="AR38" s="240"/>
      <c r="AS38" s="240"/>
      <c r="AT38" s="241"/>
      <c r="AU38" s="241"/>
      <c r="AV38" s="241"/>
      <c r="AW38" s="242"/>
      <c r="AX38" s="243"/>
      <c r="AY38" s="245"/>
    </row>
    <row r="39" spans="1:51" s="268" customFormat="1" ht="15" customHeight="1" x14ac:dyDescent="0.25">
      <c r="A39" s="246"/>
      <c r="B39" s="247" t="s">
        <v>59</v>
      </c>
      <c r="C39" s="247"/>
      <c r="D39" s="247"/>
      <c r="E39" s="247"/>
      <c r="F39" s="247"/>
      <c r="G39" s="247"/>
      <c r="H39" s="248"/>
      <c r="I39" s="249"/>
      <c r="J39" s="250" t="s">
        <v>148</v>
      </c>
      <c r="K39" s="251"/>
      <c r="L39" s="252"/>
      <c r="M39" s="253"/>
      <c r="N39" s="253"/>
      <c r="O39" s="253"/>
      <c r="P39" s="253"/>
      <c r="Q39" s="253"/>
      <c r="R39" s="253"/>
      <c r="S39" s="253"/>
      <c r="T39" s="254"/>
      <c r="U39" s="254"/>
      <c r="V39" s="255"/>
      <c r="W39" s="256">
        <f t="shared" ref="W39" si="0">W40</f>
        <v>47020000</v>
      </c>
      <c r="X39" s="257"/>
      <c r="Y39" s="258"/>
      <c r="Z39" s="259"/>
      <c r="AA39" s="260"/>
      <c r="AB39" s="261"/>
      <c r="AC39" s="262"/>
      <c r="AD39" s="262"/>
      <c r="AE39" s="262"/>
      <c r="AF39" s="262"/>
      <c r="AG39" s="263"/>
      <c r="AH39" s="263"/>
      <c r="AI39" s="263"/>
      <c r="AJ39" s="264"/>
      <c r="AK39" s="265"/>
      <c r="AL39" s="266"/>
      <c r="AM39" s="259"/>
      <c r="AN39" s="260"/>
      <c r="AO39" s="261"/>
      <c r="AP39" s="262"/>
      <c r="AQ39" s="262"/>
      <c r="AR39" s="262"/>
      <c r="AS39" s="262"/>
      <c r="AT39" s="263"/>
      <c r="AU39" s="263"/>
      <c r="AV39" s="263"/>
      <c r="AW39" s="264"/>
      <c r="AX39" s="265"/>
      <c r="AY39" s="267"/>
    </row>
    <row r="40" spans="1:51" s="268" customFormat="1" ht="15" customHeight="1" x14ac:dyDescent="0.25">
      <c r="A40" s="269"/>
      <c r="B40" s="270" t="s">
        <v>59</v>
      </c>
      <c r="C40" s="334" t="s">
        <v>50</v>
      </c>
      <c r="D40" s="271"/>
      <c r="E40" s="271"/>
      <c r="F40" s="272"/>
      <c r="G40" s="270"/>
      <c r="H40" s="273"/>
      <c r="I40" s="274"/>
      <c r="J40" s="275" t="s">
        <v>149</v>
      </c>
      <c r="K40" s="276"/>
      <c r="L40" s="277"/>
      <c r="M40" s="278"/>
      <c r="N40" s="278"/>
      <c r="O40" s="278"/>
      <c r="P40" s="278"/>
      <c r="Q40" s="278"/>
      <c r="R40" s="278"/>
      <c r="S40" s="278"/>
      <c r="T40" s="279"/>
      <c r="U40" s="279"/>
      <c r="V40" s="280"/>
      <c r="W40" s="281">
        <f>W41</f>
        <v>47020000</v>
      </c>
      <c r="X40" s="257"/>
      <c r="Y40" s="258"/>
      <c r="Z40" s="259"/>
      <c r="AA40" s="261"/>
      <c r="AB40" s="261"/>
      <c r="AC40" s="262"/>
      <c r="AD40" s="262"/>
      <c r="AE40" s="262"/>
      <c r="AF40" s="262"/>
      <c r="AG40" s="263"/>
      <c r="AH40" s="263"/>
      <c r="AI40" s="263"/>
      <c r="AJ40" s="264"/>
      <c r="AK40" s="265"/>
      <c r="AL40" s="266"/>
      <c r="AM40" s="259"/>
      <c r="AN40" s="261"/>
      <c r="AO40" s="261"/>
      <c r="AP40" s="262"/>
      <c r="AQ40" s="262"/>
      <c r="AR40" s="262"/>
      <c r="AS40" s="262"/>
      <c r="AT40" s="263"/>
      <c r="AU40" s="263"/>
      <c r="AV40" s="263"/>
      <c r="AW40" s="264"/>
      <c r="AX40" s="265"/>
      <c r="AY40" s="267"/>
    </row>
    <row r="41" spans="1:51" s="268" customFormat="1" ht="15" customHeight="1" x14ac:dyDescent="0.25">
      <c r="A41" s="269"/>
      <c r="B41" s="270" t="s">
        <v>59</v>
      </c>
      <c r="C41" s="334" t="s">
        <v>50</v>
      </c>
      <c r="D41" s="288" t="s">
        <v>67</v>
      </c>
      <c r="E41" s="271"/>
      <c r="F41" s="271"/>
      <c r="G41" s="270"/>
      <c r="H41" s="273"/>
      <c r="I41" s="282"/>
      <c r="J41" s="283" t="s">
        <v>150</v>
      </c>
      <c r="K41" s="284"/>
      <c r="L41" s="285"/>
      <c r="M41" s="286"/>
      <c r="N41" s="286"/>
      <c r="O41" s="286"/>
      <c r="P41" s="286"/>
      <c r="Q41" s="286"/>
      <c r="R41" s="286"/>
      <c r="S41" s="286"/>
      <c r="T41" s="279"/>
      <c r="U41" s="279"/>
      <c r="V41" s="280"/>
      <c r="W41" s="281">
        <f>W43</f>
        <v>47020000</v>
      </c>
      <c r="X41" s="287"/>
      <c r="Y41" s="258"/>
      <c r="Z41" s="259"/>
      <c r="AA41" s="261"/>
      <c r="AB41" s="261"/>
      <c r="AC41" s="262"/>
      <c r="AD41" s="262"/>
      <c r="AE41" s="262"/>
      <c r="AF41" s="262"/>
      <c r="AG41" s="263"/>
      <c r="AH41" s="263"/>
      <c r="AI41" s="263"/>
      <c r="AJ41" s="264"/>
      <c r="AK41" s="265"/>
      <c r="AL41" s="266"/>
      <c r="AM41" s="259"/>
      <c r="AN41" s="261"/>
      <c r="AO41" s="261"/>
      <c r="AP41" s="262"/>
      <c r="AQ41" s="262"/>
      <c r="AR41" s="262"/>
      <c r="AS41" s="262"/>
      <c r="AT41" s="263"/>
      <c r="AU41" s="263"/>
      <c r="AV41" s="263"/>
      <c r="AW41" s="264"/>
      <c r="AX41" s="265"/>
      <c r="AY41" s="267"/>
    </row>
    <row r="42" spans="1:51" s="330" customFormat="1" ht="15" customHeight="1" x14ac:dyDescent="0.25">
      <c r="A42" s="306"/>
      <c r="B42" s="307"/>
      <c r="C42" s="307"/>
      <c r="D42" s="308"/>
      <c r="E42" s="308"/>
      <c r="F42" s="308"/>
      <c r="G42" s="307"/>
      <c r="H42" s="311"/>
      <c r="I42" s="312"/>
      <c r="J42" s="331"/>
      <c r="K42" s="314"/>
      <c r="L42" s="315"/>
      <c r="M42" s="316"/>
      <c r="N42" s="316"/>
      <c r="O42" s="316"/>
      <c r="P42" s="316"/>
      <c r="Q42" s="316"/>
      <c r="R42" s="316"/>
      <c r="S42" s="316"/>
      <c r="T42" s="317"/>
      <c r="U42" s="317"/>
      <c r="V42" s="318"/>
      <c r="W42" s="319"/>
      <c r="X42" s="320"/>
      <c r="Y42" s="321"/>
      <c r="Z42" s="322"/>
      <c r="AA42" s="323"/>
      <c r="AB42" s="323"/>
      <c r="AC42" s="324"/>
      <c r="AD42" s="324"/>
      <c r="AE42" s="324"/>
      <c r="AF42" s="324"/>
      <c r="AG42" s="325"/>
      <c r="AH42" s="325"/>
      <c r="AI42" s="325"/>
      <c r="AJ42" s="326"/>
      <c r="AK42" s="332"/>
      <c r="AL42" s="328"/>
      <c r="AM42" s="322"/>
      <c r="AN42" s="323"/>
      <c r="AO42" s="323"/>
      <c r="AP42" s="324"/>
      <c r="AQ42" s="324"/>
      <c r="AR42" s="324"/>
      <c r="AS42" s="324"/>
      <c r="AT42" s="325"/>
      <c r="AU42" s="325"/>
      <c r="AV42" s="325"/>
      <c r="AW42" s="326"/>
      <c r="AX42" s="332"/>
      <c r="AY42" s="333"/>
    </row>
    <row r="43" spans="1:51" s="305" customFormat="1" ht="15" customHeight="1" x14ac:dyDescent="0.25">
      <c r="A43" s="269"/>
      <c r="B43" s="270" t="s">
        <v>59</v>
      </c>
      <c r="C43" s="270" t="s">
        <v>50</v>
      </c>
      <c r="D43" s="288" t="s">
        <v>67</v>
      </c>
      <c r="E43" s="288" t="s">
        <v>67</v>
      </c>
      <c r="F43" s="271"/>
      <c r="G43" s="270"/>
      <c r="H43" s="273"/>
      <c r="I43" s="289"/>
      <c r="J43" s="283" t="s">
        <v>153</v>
      </c>
      <c r="K43" s="290"/>
      <c r="L43" s="291"/>
      <c r="M43" s="292"/>
      <c r="N43" s="292"/>
      <c r="O43" s="292"/>
      <c r="P43" s="292"/>
      <c r="Q43" s="292"/>
      <c r="R43" s="292"/>
      <c r="S43" s="292"/>
      <c r="T43" s="293"/>
      <c r="U43" s="293"/>
      <c r="V43" s="294"/>
      <c r="W43" s="295">
        <f>W44</f>
        <v>47020000</v>
      </c>
      <c r="X43" s="296"/>
      <c r="Y43" s="297"/>
      <c r="Z43" s="259"/>
      <c r="AA43" s="298"/>
      <c r="AB43" s="298"/>
      <c r="AC43" s="299"/>
      <c r="AD43" s="299"/>
      <c r="AE43" s="299"/>
      <c r="AF43" s="299"/>
      <c r="AG43" s="300"/>
      <c r="AH43" s="300"/>
      <c r="AI43" s="300"/>
      <c r="AJ43" s="301"/>
      <c r="AK43" s="335"/>
      <c r="AL43" s="303"/>
      <c r="AM43" s="259"/>
      <c r="AN43" s="298"/>
      <c r="AO43" s="298"/>
      <c r="AP43" s="299"/>
      <c r="AQ43" s="299"/>
      <c r="AR43" s="299"/>
      <c r="AS43" s="299"/>
      <c r="AT43" s="300"/>
      <c r="AU43" s="300"/>
      <c r="AV43" s="300"/>
      <c r="AW43" s="301"/>
      <c r="AX43" s="335"/>
      <c r="AY43" s="336"/>
    </row>
    <row r="44" spans="1:51" s="305" customFormat="1" ht="15" customHeight="1" x14ac:dyDescent="0.25">
      <c r="A44" s="269"/>
      <c r="B44" s="270" t="s">
        <v>59</v>
      </c>
      <c r="C44" s="270" t="s">
        <v>50</v>
      </c>
      <c r="D44" s="288" t="s">
        <v>67</v>
      </c>
      <c r="E44" s="288" t="s">
        <v>67</v>
      </c>
      <c r="F44" s="271" t="s">
        <v>65</v>
      </c>
      <c r="G44" s="270"/>
      <c r="H44" s="273"/>
      <c r="I44" s="289"/>
      <c r="J44" s="283" t="s">
        <v>154</v>
      </c>
      <c r="K44" s="290"/>
      <c r="L44" s="291"/>
      <c r="M44" s="292"/>
      <c r="N44" s="292"/>
      <c r="O44" s="292"/>
      <c r="P44" s="292"/>
      <c r="Q44" s="292"/>
      <c r="R44" s="292"/>
      <c r="S44" s="292"/>
      <c r="T44" s="293"/>
      <c r="U44" s="293"/>
      <c r="V44" s="294"/>
      <c r="W44" s="295">
        <f>W45+W53</f>
        <v>47020000</v>
      </c>
      <c r="X44" s="296"/>
      <c r="Y44" s="297"/>
      <c r="Z44" s="259"/>
      <c r="AA44" s="298"/>
      <c r="AB44" s="298"/>
      <c r="AC44" s="299"/>
      <c r="AD44" s="299"/>
      <c r="AE44" s="299"/>
      <c r="AF44" s="299"/>
      <c r="AG44" s="300"/>
      <c r="AH44" s="300"/>
      <c r="AI44" s="300"/>
      <c r="AJ44" s="301"/>
      <c r="AK44" s="335"/>
      <c r="AL44" s="303"/>
      <c r="AM44" s="259"/>
      <c r="AN44" s="298"/>
      <c r="AO44" s="298"/>
      <c r="AP44" s="299"/>
      <c r="AQ44" s="299"/>
      <c r="AR44" s="299"/>
      <c r="AS44" s="299"/>
      <c r="AT44" s="300"/>
      <c r="AU44" s="300"/>
      <c r="AV44" s="300"/>
      <c r="AW44" s="301"/>
      <c r="AX44" s="335"/>
      <c r="AY44" s="336"/>
    </row>
    <row r="45" spans="1:51" s="330" customFormat="1" ht="15" customHeight="1" x14ac:dyDescent="0.25">
      <c r="A45" s="306"/>
      <c r="B45" s="307" t="s">
        <v>59</v>
      </c>
      <c r="C45" s="307" t="s">
        <v>50</v>
      </c>
      <c r="D45" s="309" t="s">
        <v>67</v>
      </c>
      <c r="E45" s="309" t="s">
        <v>67</v>
      </c>
      <c r="F45" s="308" t="s">
        <v>65</v>
      </c>
      <c r="G45" s="310" t="s">
        <v>667</v>
      </c>
      <c r="H45" s="311"/>
      <c r="I45" s="312"/>
      <c r="J45" s="331" t="s">
        <v>668</v>
      </c>
      <c r="K45" s="314"/>
      <c r="L45" s="315"/>
      <c r="M45" s="316"/>
      <c r="N45" s="316"/>
      <c r="O45" s="316"/>
      <c r="P45" s="316"/>
      <c r="Q45" s="316"/>
      <c r="R45" s="316"/>
      <c r="S45" s="316"/>
      <c r="T45" s="317"/>
      <c r="U45" s="317"/>
      <c r="V45" s="318"/>
      <c r="W45" s="319">
        <f>SUM(W46:W51)</f>
        <v>23520000</v>
      </c>
      <c r="X45" s="320"/>
      <c r="Y45" s="321"/>
      <c r="Z45" s="322"/>
      <c r="AA45" s="323"/>
      <c r="AB45" s="323"/>
      <c r="AC45" s="324"/>
      <c r="AD45" s="324"/>
      <c r="AE45" s="324"/>
      <c r="AF45" s="324"/>
      <c r="AG45" s="325"/>
      <c r="AH45" s="325"/>
      <c r="AI45" s="325"/>
      <c r="AJ45" s="326"/>
      <c r="AK45" s="332"/>
      <c r="AL45" s="328"/>
      <c r="AM45" s="322"/>
      <c r="AN45" s="323"/>
      <c r="AO45" s="323"/>
      <c r="AP45" s="324"/>
      <c r="AQ45" s="324"/>
      <c r="AR45" s="324"/>
      <c r="AS45" s="324"/>
      <c r="AT45" s="325"/>
      <c r="AU45" s="325"/>
      <c r="AV45" s="325"/>
      <c r="AW45" s="326"/>
      <c r="AX45" s="332"/>
      <c r="AY45" s="333"/>
    </row>
    <row r="46" spans="1:51" s="330" customFormat="1" ht="15" customHeight="1" x14ac:dyDescent="0.25">
      <c r="A46" s="306"/>
      <c r="B46" s="307"/>
      <c r="C46" s="307"/>
      <c r="D46" s="308"/>
      <c r="E46" s="308"/>
      <c r="F46" s="308"/>
      <c r="G46" s="307"/>
      <c r="H46" s="311"/>
      <c r="I46" s="312"/>
      <c r="J46" s="331" t="s">
        <v>669</v>
      </c>
      <c r="K46" s="314"/>
      <c r="L46" s="316">
        <v>2</v>
      </c>
      <c r="M46" s="316" t="s">
        <v>656</v>
      </c>
      <c r="N46" s="316" t="s">
        <v>658</v>
      </c>
      <c r="O46" s="316">
        <v>6</v>
      </c>
      <c r="P46" s="316" t="s">
        <v>670</v>
      </c>
      <c r="Q46" s="316" t="s">
        <v>658</v>
      </c>
      <c r="R46" s="316">
        <v>8</v>
      </c>
      <c r="S46" s="316" t="s">
        <v>155</v>
      </c>
      <c r="T46" s="317">
        <f>R46*O46*L46</f>
        <v>96</v>
      </c>
      <c r="U46" s="317" t="s">
        <v>657</v>
      </c>
      <c r="V46" s="318">
        <v>70000</v>
      </c>
      <c r="W46" s="484">
        <f>V46*T46</f>
        <v>6720000</v>
      </c>
      <c r="X46" s="320" t="s">
        <v>649</v>
      </c>
      <c r="Y46" s="321">
        <v>560000</v>
      </c>
      <c r="Z46" s="322">
        <v>560000</v>
      </c>
      <c r="AA46" s="323">
        <v>560000</v>
      </c>
      <c r="AB46" s="323">
        <v>560000</v>
      </c>
      <c r="AC46" s="324">
        <v>560000</v>
      </c>
      <c r="AD46" s="324">
        <v>560000</v>
      </c>
      <c r="AE46" s="324">
        <v>560000</v>
      </c>
      <c r="AF46" s="324">
        <v>560000</v>
      </c>
      <c r="AG46" s="325">
        <v>560000</v>
      </c>
      <c r="AH46" s="325">
        <v>560000</v>
      </c>
      <c r="AI46" s="325">
        <v>560000</v>
      </c>
      <c r="AJ46" s="326">
        <v>560000</v>
      </c>
      <c r="AK46" s="332">
        <f>SUM(Y46:AJ46)</f>
        <v>6720000</v>
      </c>
      <c r="AL46" s="328"/>
      <c r="AM46" s="322"/>
      <c r="AN46" s="323"/>
      <c r="AO46" s="323"/>
      <c r="AP46" s="324"/>
      <c r="AQ46" s="324"/>
      <c r="AR46" s="324"/>
      <c r="AS46" s="324"/>
      <c r="AT46" s="325"/>
      <c r="AU46" s="325"/>
      <c r="AV46" s="325"/>
      <c r="AW46" s="326"/>
      <c r="AX46" s="332">
        <f t="shared" ref="AX46:AX48" si="1">SUM(AL46:AW46)</f>
        <v>0</v>
      </c>
      <c r="AY46" s="333">
        <f t="shared" ref="AY46:AY49" si="2">AK46-AX46</f>
        <v>6720000</v>
      </c>
    </row>
    <row r="47" spans="1:51" s="330" customFormat="1" ht="15" customHeight="1" x14ac:dyDescent="0.25">
      <c r="A47" s="306"/>
      <c r="B47" s="307"/>
      <c r="C47" s="307"/>
      <c r="D47" s="308"/>
      <c r="E47" s="308"/>
      <c r="F47" s="308"/>
      <c r="G47" s="307"/>
      <c r="H47" s="311"/>
      <c r="I47" s="312"/>
      <c r="J47" s="331" t="s">
        <v>671</v>
      </c>
      <c r="K47" s="314"/>
      <c r="L47" s="316">
        <v>1</v>
      </c>
      <c r="M47" s="316" t="s">
        <v>656</v>
      </c>
      <c r="N47" s="316" t="s">
        <v>658</v>
      </c>
      <c r="O47" s="316">
        <v>6</v>
      </c>
      <c r="P47" s="316" t="s">
        <v>670</v>
      </c>
      <c r="Q47" s="316" t="s">
        <v>658</v>
      </c>
      <c r="R47" s="316">
        <v>8</v>
      </c>
      <c r="S47" s="316" t="s">
        <v>155</v>
      </c>
      <c r="T47" s="317">
        <f t="shared" ref="T47:T49" si="3">R47*O47*L47</f>
        <v>48</v>
      </c>
      <c r="U47" s="317" t="s">
        <v>657</v>
      </c>
      <c r="V47" s="318">
        <v>70000</v>
      </c>
      <c r="W47" s="484">
        <f>V47*T47</f>
        <v>3360000</v>
      </c>
      <c r="X47" s="320" t="s">
        <v>649</v>
      </c>
      <c r="Y47" s="321"/>
      <c r="Z47" s="322">
        <v>280000</v>
      </c>
      <c r="AA47" s="323">
        <v>280000</v>
      </c>
      <c r="AB47" s="323">
        <v>280000</v>
      </c>
      <c r="AC47" s="324">
        <v>280000</v>
      </c>
      <c r="AD47" s="324">
        <v>280000</v>
      </c>
      <c r="AE47" s="324">
        <v>280000</v>
      </c>
      <c r="AF47" s="324">
        <v>280000</v>
      </c>
      <c r="AG47" s="325">
        <v>280000</v>
      </c>
      <c r="AH47" s="325">
        <v>280000</v>
      </c>
      <c r="AI47" s="325">
        <v>280000</v>
      </c>
      <c r="AJ47" s="326">
        <v>280000</v>
      </c>
      <c r="AK47" s="332">
        <f t="shared" ref="AK47:AK49" si="4">SUM(Y47:AJ47)</f>
        <v>3080000</v>
      </c>
      <c r="AL47" s="328"/>
      <c r="AM47" s="322"/>
      <c r="AN47" s="323"/>
      <c r="AO47" s="323"/>
      <c r="AP47" s="324"/>
      <c r="AQ47" s="324"/>
      <c r="AR47" s="324"/>
      <c r="AS47" s="324"/>
      <c r="AT47" s="325"/>
      <c r="AU47" s="325"/>
      <c r="AV47" s="325"/>
      <c r="AW47" s="326"/>
      <c r="AX47" s="332">
        <f t="shared" si="1"/>
        <v>0</v>
      </c>
      <c r="AY47" s="333">
        <f t="shared" si="2"/>
        <v>3080000</v>
      </c>
    </row>
    <row r="48" spans="1:51" s="330" customFormat="1" ht="15" customHeight="1" x14ac:dyDescent="0.25">
      <c r="A48" s="306"/>
      <c r="B48" s="307"/>
      <c r="C48" s="307"/>
      <c r="D48" s="308"/>
      <c r="E48" s="308"/>
      <c r="F48" s="308"/>
      <c r="G48" s="307"/>
      <c r="H48" s="311"/>
      <c r="I48" s="312"/>
      <c r="J48" s="331" t="s">
        <v>672</v>
      </c>
      <c r="K48" s="314"/>
      <c r="L48" s="316">
        <v>1</v>
      </c>
      <c r="M48" s="316" t="s">
        <v>656</v>
      </c>
      <c r="N48" s="316" t="s">
        <v>658</v>
      </c>
      <c r="O48" s="316">
        <v>6</v>
      </c>
      <c r="P48" s="316" t="s">
        <v>670</v>
      </c>
      <c r="Q48" s="316" t="s">
        <v>658</v>
      </c>
      <c r="R48" s="316">
        <v>8</v>
      </c>
      <c r="S48" s="316" t="s">
        <v>155</v>
      </c>
      <c r="T48" s="317">
        <f t="shared" si="3"/>
        <v>48</v>
      </c>
      <c r="U48" s="317" t="s">
        <v>657</v>
      </c>
      <c r="V48" s="318">
        <v>70000</v>
      </c>
      <c r="W48" s="484">
        <f>V48*T48</f>
        <v>3360000</v>
      </c>
      <c r="X48" s="320" t="s">
        <v>649</v>
      </c>
      <c r="Y48" s="321">
        <v>280000</v>
      </c>
      <c r="Z48" s="322">
        <v>280000</v>
      </c>
      <c r="AA48" s="323">
        <v>280000</v>
      </c>
      <c r="AB48" s="323">
        <v>280000</v>
      </c>
      <c r="AC48" s="324">
        <v>280000</v>
      </c>
      <c r="AD48" s="324">
        <v>280000</v>
      </c>
      <c r="AE48" s="324">
        <v>280000</v>
      </c>
      <c r="AF48" s="324">
        <v>280000</v>
      </c>
      <c r="AG48" s="325">
        <v>280000</v>
      </c>
      <c r="AH48" s="325">
        <v>280000</v>
      </c>
      <c r="AI48" s="325">
        <v>280000</v>
      </c>
      <c r="AJ48" s="326">
        <v>280000</v>
      </c>
      <c r="AK48" s="332">
        <f t="shared" si="4"/>
        <v>3360000</v>
      </c>
      <c r="AL48" s="328"/>
      <c r="AM48" s="322"/>
      <c r="AN48" s="323"/>
      <c r="AO48" s="323"/>
      <c r="AP48" s="324"/>
      <c r="AQ48" s="324"/>
      <c r="AR48" s="324"/>
      <c r="AS48" s="324"/>
      <c r="AT48" s="325"/>
      <c r="AU48" s="325"/>
      <c r="AV48" s="325"/>
      <c r="AW48" s="326"/>
      <c r="AX48" s="332">
        <f t="shared" si="1"/>
        <v>0</v>
      </c>
      <c r="AY48" s="333">
        <f t="shared" si="2"/>
        <v>3360000</v>
      </c>
    </row>
    <row r="49" spans="1:51" s="330" customFormat="1" ht="15" customHeight="1" x14ac:dyDescent="0.25">
      <c r="A49" s="306"/>
      <c r="B49" s="307"/>
      <c r="C49" s="307"/>
      <c r="D49" s="308"/>
      <c r="E49" s="308"/>
      <c r="F49" s="308"/>
      <c r="G49" s="307"/>
      <c r="H49" s="311"/>
      <c r="I49" s="312"/>
      <c r="J49" s="331" t="s">
        <v>854</v>
      </c>
      <c r="K49" s="314"/>
      <c r="L49" s="316">
        <v>1</v>
      </c>
      <c r="M49" s="316" t="s">
        <v>656</v>
      </c>
      <c r="N49" s="316" t="s">
        <v>658</v>
      </c>
      <c r="O49" s="316">
        <v>6</v>
      </c>
      <c r="P49" s="316" t="s">
        <v>670</v>
      </c>
      <c r="Q49" s="316" t="s">
        <v>658</v>
      </c>
      <c r="R49" s="316">
        <v>8</v>
      </c>
      <c r="S49" s="316" t="s">
        <v>155</v>
      </c>
      <c r="T49" s="317">
        <f t="shared" si="3"/>
        <v>48</v>
      </c>
      <c r="U49" s="317" t="s">
        <v>657</v>
      </c>
      <c r="V49" s="318">
        <v>70000</v>
      </c>
      <c r="W49" s="484">
        <f>V49*T49</f>
        <v>3360000</v>
      </c>
      <c r="X49" s="320" t="s">
        <v>649</v>
      </c>
      <c r="Y49" s="321"/>
      <c r="Z49" s="322"/>
      <c r="AA49" s="323"/>
      <c r="AB49" s="323"/>
      <c r="AC49" s="324"/>
      <c r="AD49" s="324"/>
      <c r="AE49" s="324"/>
      <c r="AF49" s="324"/>
      <c r="AG49" s="325">
        <v>280000</v>
      </c>
      <c r="AH49" s="325">
        <v>280000</v>
      </c>
      <c r="AI49" s="325"/>
      <c r="AJ49" s="326"/>
      <c r="AK49" s="332">
        <f t="shared" si="4"/>
        <v>560000</v>
      </c>
      <c r="AL49" s="328"/>
      <c r="AM49" s="322"/>
      <c r="AN49" s="323"/>
      <c r="AO49" s="323"/>
      <c r="AP49" s="324"/>
      <c r="AQ49" s="324"/>
      <c r="AR49" s="324"/>
      <c r="AS49" s="324"/>
      <c r="AT49" s="325"/>
      <c r="AU49" s="325"/>
      <c r="AV49" s="325"/>
      <c r="AW49" s="326"/>
      <c r="AX49" s="332"/>
      <c r="AY49" s="333">
        <f t="shared" si="2"/>
        <v>560000</v>
      </c>
    </row>
    <row r="50" spans="1:51" s="330" customFormat="1" ht="15" customHeight="1" x14ac:dyDescent="0.25">
      <c r="A50" s="306"/>
      <c r="B50" s="307"/>
      <c r="C50" s="307"/>
      <c r="D50" s="308"/>
      <c r="E50" s="308"/>
      <c r="F50" s="308"/>
      <c r="G50" s="307"/>
      <c r="H50" s="311"/>
      <c r="I50" s="312"/>
      <c r="J50" s="331" t="s">
        <v>855</v>
      </c>
      <c r="K50" s="314"/>
      <c r="L50" s="316">
        <v>1</v>
      </c>
      <c r="M50" s="316" t="s">
        <v>656</v>
      </c>
      <c r="N50" s="316" t="s">
        <v>658</v>
      </c>
      <c r="O50" s="316">
        <v>6</v>
      </c>
      <c r="P50" s="316" t="s">
        <v>670</v>
      </c>
      <c r="Q50" s="316" t="s">
        <v>658</v>
      </c>
      <c r="R50" s="316">
        <v>8</v>
      </c>
      <c r="S50" s="316" t="s">
        <v>155</v>
      </c>
      <c r="T50" s="317">
        <f t="shared" ref="T50:T51" si="5">R50*O50*L50</f>
        <v>48</v>
      </c>
      <c r="U50" s="317" t="s">
        <v>657</v>
      </c>
      <c r="V50" s="318">
        <v>70000</v>
      </c>
      <c r="W50" s="484">
        <f t="shared" ref="W50:W51" si="6">V50*T50</f>
        <v>3360000</v>
      </c>
      <c r="X50" s="320" t="s">
        <v>649</v>
      </c>
      <c r="Y50" s="321"/>
      <c r="Z50" s="490"/>
      <c r="AA50" s="321"/>
      <c r="AB50" s="321"/>
      <c r="AC50" s="451"/>
      <c r="AD50" s="451"/>
      <c r="AE50" s="451"/>
      <c r="AF50" s="451"/>
      <c r="AG50" s="452"/>
      <c r="AH50" s="452"/>
      <c r="AI50" s="452"/>
      <c r="AJ50" s="491"/>
      <c r="AK50" s="332"/>
      <c r="AL50" s="328"/>
      <c r="AM50" s="322"/>
      <c r="AN50" s="323"/>
      <c r="AO50" s="323"/>
      <c r="AP50" s="324"/>
      <c r="AQ50" s="324"/>
      <c r="AR50" s="324"/>
      <c r="AS50" s="324"/>
      <c r="AT50" s="325"/>
      <c r="AU50" s="325"/>
      <c r="AV50" s="325"/>
      <c r="AW50" s="326"/>
      <c r="AX50" s="332"/>
      <c r="AY50" s="333"/>
    </row>
    <row r="51" spans="1:51" s="330" customFormat="1" ht="15" customHeight="1" x14ac:dyDescent="0.25">
      <c r="A51" s="306"/>
      <c r="B51" s="307"/>
      <c r="C51" s="307"/>
      <c r="D51" s="308"/>
      <c r="E51" s="308"/>
      <c r="F51" s="308"/>
      <c r="G51" s="307"/>
      <c r="H51" s="311"/>
      <c r="I51" s="312"/>
      <c r="J51" s="331" t="s">
        <v>856</v>
      </c>
      <c r="K51" s="314"/>
      <c r="L51" s="316">
        <v>1</v>
      </c>
      <c r="M51" s="316" t="s">
        <v>656</v>
      </c>
      <c r="N51" s="316" t="s">
        <v>658</v>
      </c>
      <c r="O51" s="316">
        <v>6</v>
      </c>
      <c r="P51" s="316" t="s">
        <v>670</v>
      </c>
      <c r="Q51" s="316" t="s">
        <v>658</v>
      </c>
      <c r="R51" s="316">
        <v>8</v>
      </c>
      <c r="S51" s="316" t="s">
        <v>155</v>
      </c>
      <c r="T51" s="317">
        <f t="shared" si="5"/>
        <v>48</v>
      </c>
      <c r="U51" s="317" t="s">
        <v>657</v>
      </c>
      <c r="V51" s="318">
        <v>70000</v>
      </c>
      <c r="W51" s="484">
        <f t="shared" si="6"/>
        <v>3360000</v>
      </c>
      <c r="X51" s="320" t="s">
        <v>649</v>
      </c>
      <c r="Y51" s="321"/>
      <c r="Z51" s="490"/>
      <c r="AA51" s="321"/>
      <c r="AB51" s="321"/>
      <c r="AC51" s="451"/>
      <c r="AD51" s="451"/>
      <c r="AE51" s="451"/>
      <c r="AF51" s="451"/>
      <c r="AG51" s="452"/>
      <c r="AH51" s="452"/>
      <c r="AI51" s="452"/>
      <c r="AJ51" s="491"/>
      <c r="AK51" s="332"/>
      <c r="AL51" s="328"/>
      <c r="AM51" s="322"/>
      <c r="AN51" s="323"/>
      <c r="AO51" s="323"/>
      <c r="AP51" s="324"/>
      <c r="AQ51" s="324"/>
      <c r="AR51" s="324"/>
      <c r="AS51" s="324"/>
      <c r="AT51" s="325"/>
      <c r="AU51" s="325"/>
      <c r="AV51" s="325"/>
      <c r="AW51" s="326"/>
      <c r="AX51" s="332"/>
      <c r="AY51" s="333"/>
    </row>
    <row r="52" spans="1:51" s="330" customFormat="1" ht="15" customHeight="1" x14ac:dyDescent="0.25">
      <c r="A52" s="306"/>
      <c r="B52" s="307"/>
      <c r="C52" s="307"/>
      <c r="D52" s="308"/>
      <c r="E52" s="308"/>
      <c r="F52" s="308"/>
      <c r="G52" s="307"/>
      <c r="H52" s="311"/>
      <c r="I52" s="312"/>
      <c r="J52" s="331"/>
      <c r="K52" s="314"/>
      <c r="L52" s="316"/>
      <c r="M52" s="316"/>
      <c r="N52" s="316"/>
      <c r="O52" s="316"/>
      <c r="P52" s="316"/>
      <c r="Q52" s="316"/>
      <c r="R52" s="316"/>
      <c r="S52" s="316"/>
      <c r="T52" s="317"/>
      <c r="U52" s="317"/>
      <c r="V52" s="318"/>
      <c r="W52" s="319"/>
      <c r="X52" s="320"/>
      <c r="Y52" s="321"/>
      <c r="Z52" s="321"/>
      <c r="AA52" s="321"/>
      <c r="AB52" s="321"/>
      <c r="AC52" s="451"/>
      <c r="AD52" s="451"/>
      <c r="AE52" s="451"/>
      <c r="AF52" s="451"/>
      <c r="AG52" s="452"/>
      <c r="AH52" s="452"/>
      <c r="AI52" s="452"/>
      <c r="AJ52" s="452"/>
      <c r="AK52" s="332"/>
      <c r="AL52" s="328"/>
      <c r="AM52" s="322"/>
      <c r="AN52" s="323"/>
      <c r="AO52" s="323"/>
      <c r="AP52" s="324"/>
      <c r="AQ52" s="324"/>
      <c r="AR52" s="324"/>
      <c r="AS52" s="324"/>
      <c r="AT52" s="325"/>
      <c r="AU52" s="325"/>
      <c r="AV52" s="325"/>
      <c r="AW52" s="326"/>
      <c r="AX52" s="332"/>
      <c r="AY52" s="333"/>
    </row>
    <row r="53" spans="1:51" s="330" customFormat="1" ht="15" customHeight="1" x14ac:dyDescent="0.25">
      <c r="A53" s="306"/>
      <c r="B53" s="307" t="s">
        <v>59</v>
      </c>
      <c r="C53" s="307" t="s">
        <v>50</v>
      </c>
      <c r="D53" s="309" t="s">
        <v>67</v>
      </c>
      <c r="E53" s="309" t="s">
        <v>67</v>
      </c>
      <c r="F53" s="308" t="s">
        <v>65</v>
      </c>
      <c r="G53" s="310" t="s">
        <v>774</v>
      </c>
      <c r="H53" s="311"/>
      <c r="I53" s="312"/>
      <c r="J53" s="331" t="s">
        <v>775</v>
      </c>
      <c r="K53" s="314"/>
      <c r="L53" s="316"/>
      <c r="M53" s="316"/>
      <c r="N53" s="316"/>
      <c r="O53" s="316"/>
      <c r="P53" s="316"/>
      <c r="Q53" s="316"/>
      <c r="R53" s="316"/>
      <c r="S53" s="316"/>
      <c r="T53" s="317"/>
      <c r="U53" s="317"/>
      <c r="V53" s="318"/>
      <c r="W53" s="295">
        <f>SUM(W55:W67)</f>
        <v>23500000</v>
      </c>
      <c r="X53" s="320"/>
      <c r="Y53" s="321"/>
      <c r="Z53" s="322"/>
      <c r="AA53" s="323"/>
      <c r="AB53" s="323"/>
      <c r="AC53" s="324"/>
      <c r="AD53" s="324"/>
      <c r="AE53" s="324"/>
      <c r="AF53" s="324"/>
      <c r="AG53" s="325"/>
      <c r="AH53" s="325"/>
      <c r="AI53" s="325"/>
      <c r="AJ53" s="326"/>
      <c r="AK53" s="332"/>
      <c r="AL53" s="328"/>
      <c r="AM53" s="322"/>
      <c r="AN53" s="323"/>
      <c r="AO53" s="323"/>
      <c r="AP53" s="324"/>
      <c r="AQ53" s="324"/>
      <c r="AR53" s="324"/>
      <c r="AS53" s="324"/>
      <c r="AT53" s="325"/>
      <c r="AU53" s="325"/>
      <c r="AV53" s="325"/>
      <c r="AW53" s="326"/>
      <c r="AX53" s="332"/>
      <c r="AY53" s="333"/>
    </row>
    <row r="54" spans="1:51" s="330" customFormat="1" ht="15" customHeight="1" x14ac:dyDescent="0.25">
      <c r="A54" s="306"/>
      <c r="B54" s="307"/>
      <c r="C54" s="307"/>
      <c r="D54" s="309"/>
      <c r="E54" s="309"/>
      <c r="F54" s="308"/>
      <c r="G54" s="310"/>
      <c r="H54" s="311"/>
      <c r="I54" s="312"/>
      <c r="J54" s="283" t="s">
        <v>778</v>
      </c>
      <c r="K54" s="314"/>
      <c r="L54" s="316"/>
      <c r="M54" s="316"/>
      <c r="N54" s="316"/>
      <c r="O54" s="316"/>
      <c r="P54" s="316"/>
      <c r="Q54" s="316"/>
      <c r="R54" s="316"/>
      <c r="S54" s="316"/>
      <c r="T54" s="317"/>
      <c r="U54" s="317"/>
      <c r="V54" s="318"/>
      <c r="W54" s="319"/>
      <c r="X54" s="320"/>
      <c r="Y54" s="321"/>
      <c r="Z54" s="322"/>
      <c r="AA54" s="323"/>
      <c r="AB54" s="323"/>
      <c r="AC54" s="324"/>
      <c r="AD54" s="324"/>
      <c r="AE54" s="324"/>
      <c r="AF54" s="324"/>
      <c r="AG54" s="325"/>
      <c r="AH54" s="325"/>
      <c r="AI54" s="325"/>
      <c r="AJ54" s="326"/>
      <c r="AK54" s="332"/>
      <c r="AL54" s="328"/>
      <c r="AM54" s="322"/>
      <c r="AN54" s="323"/>
      <c r="AO54" s="323"/>
      <c r="AP54" s="324"/>
      <c r="AQ54" s="324"/>
      <c r="AR54" s="324"/>
      <c r="AS54" s="324"/>
      <c r="AT54" s="325"/>
      <c r="AU54" s="325"/>
      <c r="AV54" s="325"/>
      <c r="AW54" s="326"/>
      <c r="AX54" s="332"/>
      <c r="AY54" s="333"/>
    </row>
    <row r="55" spans="1:51" s="330" customFormat="1" ht="15" customHeight="1" x14ac:dyDescent="0.25">
      <c r="A55" s="306"/>
      <c r="B55" s="307"/>
      <c r="C55" s="307"/>
      <c r="D55" s="308"/>
      <c r="E55" s="308"/>
      <c r="F55" s="308"/>
      <c r="G55" s="307"/>
      <c r="H55" s="311"/>
      <c r="I55" s="312"/>
      <c r="J55" s="331" t="s">
        <v>776</v>
      </c>
      <c r="K55" s="314"/>
      <c r="L55" s="316"/>
      <c r="M55" s="316"/>
      <c r="N55" s="316"/>
      <c r="O55" s="316">
        <v>1</v>
      </c>
      <c r="P55" s="316" t="s">
        <v>777</v>
      </c>
      <c r="Q55" s="316" t="s">
        <v>658</v>
      </c>
      <c r="R55" s="316">
        <v>1</v>
      </c>
      <c r="S55" s="316" t="s">
        <v>683</v>
      </c>
      <c r="T55" s="317">
        <f>R55*O55</f>
        <v>1</v>
      </c>
      <c r="U55" s="317" t="s">
        <v>777</v>
      </c>
      <c r="V55" s="318">
        <v>200000</v>
      </c>
      <c r="W55" s="484">
        <f>V55*T55</f>
        <v>200000</v>
      </c>
      <c r="X55" s="320" t="s">
        <v>649</v>
      </c>
      <c r="Y55" s="321"/>
      <c r="Z55" s="322"/>
      <c r="AA55" s="323"/>
      <c r="AB55" s="323"/>
      <c r="AC55" s="324"/>
      <c r="AD55" s="324"/>
      <c r="AE55" s="324"/>
      <c r="AF55" s="324">
        <v>200000</v>
      </c>
      <c r="AG55" s="325"/>
      <c r="AH55" s="325"/>
      <c r="AI55" s="325"/>
      <c r="AJ55" s="326"/>
      <c r="AK55" s="332">
        <f t="shared" ref="AK55:AK65" si="7">SUM(Y55:AJ55)</f>
        <v>200000</v>
      </c>
      <c r="AL55" s="328"/>
      <c r="AM55" s="322"/>
      <c r="AN55" s="323"/>
      <c r="AO55" s="323"/>
      <c r="AP55" s="324"/>
      <c r="AQ55" s="324"/>
      <c r="AR55" s="324"/>
      <c r="AS55" s="324"/>
      <c r="AT55" s="325"/>
      <c r="AU55" s="325"/>
      <c r="AV55" s="325"/>
      <c r="AW55" s="326"/>
      <c r="AX55" s="332">
        <f t="shared" ref="AX55" si="8">SUM(AL55:AW55)</f>
        <v>0</v>
      </c>
      <c r="AY55" s="333">
        <f t="shared" ref="AY55" si="9">AK55-AX55</f>
        <v>200000</v>
      </c>
    </row>
    <row r="56" spans="1:51" s="330" customFormat="1" ht="15" customHeight="1" x14ac:dyDescent="0.25">
      <c r="A56" s="306"/>
      <c r="B56" s="307"/>
      <c r="C56" s="307"/>
      <c r="D56" s="308"/>
      <c r="E56" s="308"/>
      <c r="F56" s="308"/>
      <c r="G56" s="307"/>
      <c r="H56" s="311"/>
      <c r="I56" s="312"/>
      <c r="J56" s="331" t="s">
        <v>857</v>
      </c>
      <c r="K56" s="314"/>
      <c r="L56" s="316"/>
      <c r="M56" s="316"/>
      <c r="N56" s="316"/>
      <c r="O56" s="316">
        <v>36</v>
      </c>
      <c r="P56" s="316" t="s">
        <v>656</v>
      </c>
      <c r="Q56" s="316" t="s">
        <v>658</v>
      </c>
      <c r="R56" s="316">
        <v>1</v>
      </c>
      <c r="S56" s="316" t="s">
        <v>683</v>
      </c>
      <c r="T56" s="317">
        <f>O56</f>
        <v>36</v>
      </c>
      <c r="U56" s="317"/>
      <c r="V56" s="318">
        <v>150000</v>
      </c>
      <c r="W56" s="484">
        <f>V56*T56</f>
        <v>5400000</v>
      </c>
      <c r="X56" s="320"/>
      <c r="Y56" s="321"/>
      <c r="Z56" s="322"/>
      <c r="AA56" s="323"/>
      <c r="AB56" s="323"/>
      <c r="AC56" s="324"/>
      <c r="AD56" s="324"/>
      <c r="AE56" s="324"/>
      <c r="AF56" s="324"/>
      <c r="AG56" s="325"/>
      <c r="AH56" s="325"/>
      <c r="AI56" s="325"/>
      <c r="AJ56" s="326"/>
      <c r="AK56" s="332"/>
      <c r="AL56" s="328"/>
      <c r="AM56" s="322"/>
      <c r="AN56" s="323"/>
      <c r="AO56" s="323"/>
      <c r="AP56" s="324"/>
      <c r="AQ56" s="324"/>
      <c r="AR56" s="324"/>
      <c r="AS56" s="324"/>
      <c r="AT56" s="325"/>
      <c r="AU56" s="325"/>
      <c r="AV56" s="325"/>
      <c r="AW56" s="326"/>
      <c r="AX56" s="332"/>
      <c r="AY56" s="333"/>
    </row>
    <row r="57" spans="1:51" s="330" customFormat="1" ht="15" customHeight="1" x14ac:dyDescent="0.25">
      <c r="A57" s="306"/>
      <c r="B57" s="307"/>
      <c r="C57" s="307"/>
      <c r="D57" s="308"/>
      <c r="E57" s="308"/>
      <c r="F57" s="308"/>
      <c r="G57" s="307"/>
      <c r="H57" s="311"/>
      <c r="I57" s="312"/>
      <c r="J57" s="331"/>
      <c r="K57" s="314"/>
      <c r="L57" s="316"/>
      <c r="M57" s="316"/>
      <c r="N57" s="316"/>
      <c r="O57" s="316"/>
      <c r="P57" s="316"/>
      <c r="Q57" s="316"/>
      <c r="R57" s="316"/>
      <c r="S57" s="316"/>
      <c r="T57" s="317"/>
      <c r="U57" s="317"/>
      <c r="V57" s="318"/>
      <c r="W57" s="319"/>
      <c r="X57" s="320"/>
      <c r="Y57" s="321"/>
      <c r="Z57" s="322"/>
      <c r="AA57" s="323"/>
      <c r="AB57" s="323"/>
      <c r="AC57" s="324"/>
      <c r="AD57" s="324"/>
      <c r="AE57" s="324"/>
      <c r="AF57" s="324"/>
      <c r="AG57" s="325"/>
      <c r="AH57" s="325"/>
      <c r="AI57" s="325"/>
      <c r="AJ57" s="326"/>
      <c r="AK57" s="332"/>
      <c r="AL57" s="328"/>
      <c r="AM57" s="322"/>
      <c r="AN57" s="323"/>
      <c r="AO57" s="323"/>
      <c r="AP57" s="324"/>
      <c r="AQ57" s="324"/>
      <c r="AR57" s="324"/>
      <c r="AS57" s="324"/>
      <c r="AT57" s="325"/>
      <c r="AU57" s="325"/>
      <c r="AV57" s="325"/>
      <c r="AW57" s="326"/>
      <c r="AX57" s="332"/>
      <c r="AY57" s="333"/>
    </row>
    <row r="58" spans="1:51" s="330" customFormat="1" ht="15" customHeight="1" x14ac:dyDescent="0.25">
      <c r="A58" s="306"/>
      <c r="B58" s="307"/>
      <c r="C58" s="307"/>
      <c r="D58" s="308"/>
      <c r="E58" s="308"/>
      <c r="F58" s="308"/>
      <c r="G58" s="307"/>
      <c r="H58" s="311"/>
      <c r="I58" s="312"/>
      <c r="J58" s="283" t="s">
        <v>785</v>
      </c>
      <c r="K58" s="314"/>
      <c r="L58" s="316"/>
      <c r="M58" s="316"/>
      <c r="N58" s="316"/>
      <c r="O58" s="316"/>
      <c r="P58" s="316"/>
      <c r="Q58" s="316"/>
      <c r="R58" s="316"/>
      <c r="S58" s="316"/>
      <c r="T58" s="317"/>
      <c r="U58" s="317"/>
      <c r="V58" s="318"/>
      <c r="W58" s="319"/>
      <c r="X58" s="320"/>
      <c r="Y58" s="321"/>
      <c r="Z58" s="322"/>
      <c r="AA58" s="323"/>
      <c r="AB58" s="323"/>
      <c r="AC58" s="324"/>
      <c r="AD58" s="324"/>
      <c r="AE58" s="324"/>
      <c r="AF58" s="324"/>
      <c r="AG58" s="325"/>
      <c r="AH58" s="325"/>
      <c r="AI58" s="325"/>
      <c r="AJ58" s="326"/>
      <c r="AK58" s="332"/>
      <c r="AL58" s="328"/>
      <c r="AM58" s="322"/>
      <c r="AN58" s="323"/>
      <c r="AO58" s="323"/>
      <c r="AP58" s="324"/>
      <c r="AQ58" s="324"/>
      <c r="AR58" s="324"/>
      <c r="AS58" s="324"/>
      <c r="AT58" s="325"/>
      <c r="AU58" s="325"/>
      <c r="AV58" s="325"/>
      <c r="AW58" s="326"/>
      <c r="AX58" s="332"/>
      <c r="AY58" s="333"/>
    </row>
    <row r="59" spans="1:51" s="330" customFormat="1" ht="15" customHeight="1" x14ac:dyDescent="0.25">
      <c r="A59" s="306"/>
      <c r="B59" s="307"/>
      <c r="C59" s="307"/>
      <c r="D59" s="308"/>
      <c r="E59" s="308"/>
      <c r="F59" s="308"/>
      <c r="G59" s="307"/>
      <c r="H59" s="311"/>
      <c r="I59" s="312"/>
      <c r="J59" s="331" t="s">
        <v>786</v>
      </c>
      <c r="K59" s="314"/>
      <c r="L59" s="316"/>
      <c r="M59" s="316"/>
      <c r="N59" s="316"/>
      <c r="O59" s="316">
        <v>3</v>
      </c>
      <c r="P59" s="316" t="s">
        <v>755</v>
      </c>
      <c r="Q59" s="316" t="s">
        <v>658</v>
      </c>
      <c r="R59" s="316">
        <v>1</v>
      </c>
      <c r="S59" s="316" t="s">
        <v>683</v>
      </c>
      <c r="T59" s="317">
        <f>R59*O59</f>
        <v>3</v>
      </c>
      <c r="U59" s="317" t="s">
        <v>755</v>
      </c>
      <c r="V59" s="318">
        <v>100000</v>
      </c>
      <c r="W59" s="484">
        <f>V59*T59</f>
        <v>300000</v>
      </c>
      <c r="X59" s="320" t="s">
        <v>649</v>
      </c>
      <c r="Y59" s="321"/>
      <c r="Z59" s="322"/>
      <c r="AA59" s="323"/>
      <c r="AB59" s="323"/>
      <c r="AC59" s="324"/>
      <c r="AD59" s="324"/>
      <c r="AE59" s="324"/>
      <c r="AF59" s="324">
        <f>W59</f>
        <v>300000</v>
      </c>
      <c r="AG59" s="325"/>
      <c r="AH59" s="325"/>
      <c r="AI59" s="325"/>
      <c r="AJ59" s="326"/>
      <c r="AK59" s="332">
        <f t="shared" si="7"/>
        <v>300000</v>
      </c>
      <c r="AL59" s="328"/>
      <c r="AM59" s="322"/>
      <c r="AN59" s="323"/>
      <c r="AO59" s="323"/>
      <c r="AP59" s="324"/>
      <c r="AQ59" s="324"/>
      <c r="AR59" s="324"/>
      <c r="AS59" s="324"/>
      <c r="AT59" s="325"/>
      <c r="AU59" s="325"/>
      <c r="AV59" s="325"/>
      <c r="AW59" s="326"/>
      <c r="AX59" s="332">
        <f t="shared" ref="AX59" si="10">SUM(AL59:AW59)</f>
        <v>0</v>
      </c>
      <c r="AY59" s="333">
        <f t="shared" ref="AY59" si="11">AK59-AX59</f>
        <v>300000</v>
      </c>
    </row>
    <row r="60" spans="1:51" s="330" customFormat="1" ht="15" customHeight="1" x14ac:dyDescent="0.25">
      <c r="A60" s="306"/>
      <c r="B60" s="307"/>
      <c r="C60" s="307"/>
      <c r="D60" s="308"/>
      <c r="E60" s="308"/>
      <c r="F60" s="308"/>
      <c r="G60" s="307"/>
      <c r="H60" s="311"/>
      <c r="I60" s="312"/>
      <c r="J60" s="331" t="s">
        <v>787</v>
      </c>
      <c r="K60" s="314"/>
      <c r="L60" s="316"/>
      <c r="M60" s="316"/>
      <c r="N60" s="316"/>
      <c r="O60" s="316">
        <v>3</v>
      </c>
      <c r="P60" s="316" t="s">
        <v>755</v>
      </c>
      <c r="Q60" s="316" t="s">
        <v>658</v>
      </c>
      <c r="R60" s="316">
        <v>1</v>
      </c>
      <c r="S60" s="316" t="s">
        <v>683</v>
      </c>
      <c r="T60" s="317">
        <f>R60*O60</f>
        <v>3</v>
      </c>
      <c r="U60" s="317" t="s">
        <v>755</v>
      </c>
      <c r="V60" s="318">
        <v>100000</v>
      </c>
      <c r="W60" s="484">
        <f>V60*T60</f>
        <v>300000</v>
      </c>
      <c r="X60" s="320" t="s">
        <v>649</v>
      </c>
      <c r="Y60" s="321"/>
      <c r="Z60" s="322"/>
      <c r="AA60" s="323"/>
      <c r="AB60" s="323"/>
      <c r="AC60" s="324"/>
      <c r="AD60" s="324"/>
      <c r="AE60" s="324"/>
      <c r="AF60" s="324">
        <f>W60</f>
        <v>300000</v>
      </c>
      <c r="AG60" s="325"/>
      <c r="AH60" s="325"/>
      <c r="AI60" s="325"/>
      <c r="AJ60" s="326"/>
      <c r="AK60" s="332">
        <f t="shared" si="7"/>
        <v>300000</v>
      </c>
      <c r="AL60" s="328"/>
      <c r="AM60" s="322"/>
      <c r="AN60" s="323"/>
      <c r="AO60" s="323"/>
      <c r="AP60" s="324"/>
      <c r="AQ60" s="324"/>
      <c r="AR60" s="324"/>
      <c r="AS60" s="324"/>
      <c r="AT60" s="325"/>
      <c r="AU60" s="325"/>
      <c r="AV60" s="325"/>
      <c r="AW60" s="326"/>
      <c r="AX60" s="332">
        <f t="shared" ref="AX60" si="12">SUM(AL60:AW60)</f>
        <v>0</v>
      </c>
      <c r="AY60" s="333">
        <f t="shared" ref="AY60" si="13">AK60-AX60</f>
        <v>300000</v>
      </c>
    </row>
    <row r="61" spans="1:51" s="330" customFormat="1" ht="15" customHeight="1" x14ac:dyDescent="0.25">
      <c r="A61" s="306"/>
      <c r="B61" s="307"/>
      <c r="C61" s="307"/>
      <c r="D61" s="308"/>
      <c r="E61" s="308"/>
      <c r="F61" s="308"/>
      <c r="G61" s="307"/>
      <c r="H61" s="311"/>
      <c r="I61" s="312"/>
      <c r="J61" s="331" t="s">
        <v>788</v>
      </c>
      <c r="K61" s="314"/>
      <c r="L61" s="316"/>
      <c r="M61" s="316"/>
      <c r="N61" s="316"/>
      <c r="O61" s="316">
        <v>10</v>
      </c>
      <c r="P61" s="316" t="s">
        <v>755</v>
      </c>
      <c r="Q61" s="316" t="s">
        <v>658</v>
      </c>
      <c r="R61" s="316">
        <v>1</v>
      </c>
      <c r="S61" s="316" t="s">
        <v>683</v>
      </c>
      <c r="T61" s="317">
        <f>R61*O61</f>
        <v>10</v>
      </c>
      <c r="U61" s="317" t="s">
        <v>755</v>
      </c>
      <c r="V61" s="318">
        <v>50000</v>
      </c>
      <c r="W61" s="484">
        <f>V61*T61</f>
        <v>500000</v>
      </c>
      <c r="X61" s="320" t="s">
        <v>649</v>
      </c>
      <c r="Y61" s="321"/>
      <c r="Z61" s="322"/>
      <c r="AA61" s="323"/>
      <c r="AB61" s="323"/>
      <c r="AC61" s="324"/>
      <c r="AD61" s="324"/>
      <c r="AE61" s="324"/>
      <c r="AF61" s="324">
        <f>W61</f>
        <v>500000</v>
      </c>
      <c r="AG61" s="325"/>
      <c r="AH61" s="325"/>
      <c r="AI61" s="325"/>
      <c r="AJ61" s="326"/>
      <c r="AK61" s="332">
        <f t="shared" si="7"/>
        <v>500000</v>
      </c>
      <c r="AL61" s="328"/>
      <c r="AM61" s="322"/>
      <c r="AN61" s="323"/>
      <c r="AO61" s="323"/>
      <c r="AP61" s="324"/>
      <c r="AQ61" s="324"/>
      <c r="AR61" s="324"/>
      <c r="AS61" s="324"/>
      <c r="AT61" s="325"/>
      <c r="AU61" s="325"/>
      <c r="AV61" s="325"/>
      <c r="AW61" s="326"/>
      <c r="AX61" s="332">
        <f t="shared" ref="AX61" si="14">SUM(AL61:AW61)</f>
        <v>0</v>
      </c>
      <c r="AY61" s="333">
        <f t="shared" ref="AY61" si="15">AK61-AX61</f>
        <v>500000</v>
      </c>
    </row>
    <row r="62" spans="1:51" s="330" customFormat="1" ht="15" customHeight="1" x14ac:dyDescent="0.25">
      <c r="A62" s="306"/>
      <c r="B62" s="307"/>
      <c r="C62" s="307"/>
      <c r="D62" s="308"/>
      <c r="E62" s="308"/>
      <c r="F62" s="308"/>
      <c r="G62" s="307"/>
      <c r="H62" s="311"/>
      <c r="I62" s="312"/>
      <c r="J62" s="283"/>
      <c r="K62" s="314"/>
      <c r="L62" s="316"/>
      <c r="M62" s="316"/>
      <c r="N62" s="316"/>
      <c r="O62" s="316"/>
      <c r="P62" s="316"/>
      <c r="Q62" s="316"/>
      <c r="R62" s="316"/>
      <c r="S62" s="316"/>
      <c r="T62" s="317"/>
      <c r="U62" s="317"/>
      <c r="V62" s="318"/>
      <c r="W62" s="319"/>
      <c r="X62" s="320"/>
      <c r="Y62" s="321"/>
      <c r="Z62" s="322"/>
      <c r="AA62" s="323"/>
      <c r="AB62" s="323"/>
      <c r="AC62" s="324"/>
      <c r="AD62" s="324"/>
      <c r="AE62" s="324"/>
      <c r="AF62" s="324"/>
      <c r="AG62" s="325"/>
      <c r="AH62" s="325"/>
      <c r="AI62" s="325"/>
      <c r="AJ62" s="326"/>
      <c r="AK62" s="332"/>
      <c r="AL62" s="328"/>
      <c r="AM62" s="322"/>
      <c r="AN62" s="323"/>
      <c r="AO62" s="323"/>
      <c r="AP62" s="324"/>
      <c r="AQ62" s="324"/>
      <c r="AR62" s="324"/>
      <c r="AS62" s="324"/>
      <c r="AT62" s="325"/>
      <c r="AU62" s="325"/>
      <c r="AV62" s="325"/>
      <c r="AW62" s="326"/>
      <c r="AX62" s="332"/>
      <c r="AY62" s="333"/>
    </row>
    <row r="63" spans="1:51" s="330" customFormat="1" ht="15" customHeight="1" x14ac:dyDescent="0.25">
      <c r="A63" s="306"/>
      <c r="B63" s="307" t="s">
        <v>59</v>
      </c>
      <c r="C63" s="307" t="s">
        <v>50</v>
      </c>
      <c r="D63" s="309" t="s">
        <v>67</v>
      </c>
      <c r="E63" s="309" t="s">
        <v>67</v>
      </c>
      <c r="F63" s="308" t="s">
        <v>65</v>
      </c>
      <c r="G63" s="310" t="s">
        <v>798</v>
      </c>
      <c r="H63" s="311"/>
      <c r="I63" s="312"/>
      <c r="J63" s="283" t="s">
        <v>779</v>
      </c>
      <c r="K63" s="314"/>
      <c r="L63" s="316"/>
      <c r="M63" s="316"/>
      <c r="N63" s="316"/>
      <c r="O63" s="316"/>
      <c r="P63" s="316"/>
      <c r="Q63" s="316"/>
      <c r="R63" s="316"/>
      <c r="S63" s="316"/>
      <c r="T63" s="317"/>
      <c r="U63" s="317"/>
      <c r="V63" s="318"/>
      <c r="W63" s="319"/>
      <c r="X63" s="320"/>
      <c r="Y63" s="321"/>
      <c r="Z63" s="322"/>
      <c r="AA63" s="323">
        <v>300000</v>
      </c>
      <c r="AB63" s="323"/>
      <c r="AC63" s="324"/>
      <c r="AD63" s="324"/>
      <c r="AE63" s="324"/>
      <c r="AF63" s="324"/>
      <c r="AG63" s="325"/>
      <c r="AH63" s="325"/>
      <c r="AI63" s="325"/>
      <c r="AJ63" s="326"/>
      <c r="AK63" s="332">
        <f t="shared" si="7"/>
        <v>300000</v>
      </c>
      <c r="AL63" s="328"/>
      <c r="AM63" s="322"/>
      <c r="AN63" s="323"/>
      <c r="AO63" s="323"/>
      <c r="AP63" s="324"/>
      <c r="AQ63" s="324"/>
      <c r="AR63" s="324"/>
      <c r="AS63" s="324"/>
      <c r="AT63" s="325"/>
      <c r="AU63" s="325"/>
      <c r="AV63" s="325"/>
      <c r="AW63" s="326"/>
      <c r="AX63" s="332">
        <f t="shared" ref="AX63:AX65" si="16">SUM(AL63:AW63)</f>
        <v>0</v>
      </c>
      <c r="AY63" s="333">
        <f t="shared" ref="AY63:AY65" si="17">AK63-AX63</f>
        <v>300000</v>
      </c>
    </row>
    <row r="64" spans="1:51" s="330" customFormat="1" ht="15" customHeight="1" x14ac:dyDescent="0.25">
      <c r="A64" s="306"/>
      <c r="B64" s="307"/>
      <c r="C64" s="307"/>
      <c r="D64" s="308"/>
      <c r="E64" s="308"/>
      <c r="F64" s="308"/>
      <c r="G64" s="307"/>
      <c r="H64" s="311"/>
      <c r="I64" s="312"/>
      <c r="J64" s="331" t="s">
        <v>780</v>
      </c>
      <c r="K64" s="314"/>
      <c r="L64" s="316"/>
      <c r="M64" s="316"/>
      <c r="N64" s="316"/>
      <c r="O64" s="316">
        <v>35</v>
      </c>
      <c r="P64" s="316" t="s">
        <v>755</v>
      </c>
      <c r="Q64" s="316" t="s">
        <v>658</v>
      </c>
      <c r="R64" s="316">
        <v>1</v>
      </c>
      <c r="S64" s="316" t="s">
        <v>683</v>
      </c>
      <c r="T64" s="317">
        <f>R64*O64</f>
        <v>35</v>
      </c>
      <c r="U64" s="317" t="s">
        <v>755</v>
      </c>
      <c r="V64" s="318">
        <v>100000</v>
      </c>
      <c r="W64" s="484">
        <f>V64*T64</f>
        <v>3500000</v>
      </c>
      <c r="X64" s="320" t="s">
        <v>649</v>
      </c>
      <c r="Y64" s="321"/>
      <c r="Z64" s="322"/>
      <c r="AA64" s="323">
        <v>300000</v>
      </c>
      <c r="AB64" s="323"/>
      <c r="AC64" s="324"/>
      <c r="AD64" s="324"/>
      <c r="AE64" s="324"/>
      <c r="AF64" s="324"/>
      <c r="AG64" s="325"/>
      <c r="AH64" s="325"/>
      <c r="AI64" s="325"/>
      <c r="AJ64" s="326"/>
      <c r="AK64" s="332">
        <f t="shared" si="7"/>
        <v>300000</v>
      </c>
      <c r="AL64" s="328"/>
      <c r="AM64" s="322"/>
      <c r="AN64" s="323"/>
      <c r="AO64" s="323"/>
      <c r="AP64" s="324"/>
      <c r="AQ64" s="324"/>
      <c r="AR64" s="324"/>
      <c r="AS64" s="324"/>
      <c r="AT64" s="325"/>
      <c r="AU64" s="325"/>
      <c r="AV64" s="325"/>
      <c r="AW64" s="326"/>
      <c r="AX64" s="332">
        <f t="shared" si="16"/>
        <v>0</v>
      </c>
      <c r="AY64" s="333">
        <f t="shared" si="17"/>
        <v>300000</v>
      </c>
    </row>
    <row r="65" spans="1:51" s="330" customFormat="1" ht="15" customHeight="1" x14ac:dyDescent="0.25">
      <c r="A65" s="306"/>
      <c r="B65" s="307"/>
      <c r="C65" s="307"/>
      <c r="D65" s="308"/>
      <c r="E65" s="308"/>
      <c r="F65" s="308"/>
      <c r="G65" s="307"/>
      <c r="H65" s="311"/>
      <c r="I65" s="312"/>
      <c r="J65" s="331" t="s">
        <v>781</v>
      </c>
      <c r="K65" s="314"/>
      <c r="L65" s="316"/>
      <c r="M65" s="316"/>
      <c r="N65" s="316"/>
      <c r="O65" s="316">
        <v>26</v>
      </c>
      <c r="P65" s="316" t="s">
        <v>755</v>
      </c>
      <c r="Q65" s="316" t="s">
        <v>658</v>
      </c>
      <c r="R65" s="316">
        <v>1</v>
      </c>
      <c r="S65" s="316" t="s">
        <v>683</v>
      </c>
      <c r="T65" s="317">
        <f>R65*O65</f>
        <v>26</v>
      </c>
      <c r="U65" s="317" t="s">
        <v>755</v>
      </c>
      <c r="V65" s="318">
        <v>100000</v>
      </c>
      <c r="W65" s="484">
        <f>V65*T65</f>
        <v>2600000</v>
      </c>
      <c r="X65" s="320" t="s">
        <v>649</v>
      </c>
      <c r="Y65" s="321"/>
      <c r="Z65" s="322"/>
      <c r="AA65" s="323">
        <v>500000</v>
      </c>
      <c r="AB65" s="323"/>
      <c r="AC65" s="324"/>
      <c r="AD65" s="324"/>
      <c r="AE65" s="324"/>
      <c r="AF65" s="324"/>
      <c r="AG65" s="325"/>
      <c r="AH65" s="325"/>
      <c r="AI65" s="325"/>
      <c r="AJ65" s="326"/>
      <c r="AK65" s="332">
        <f t="shared" si="7"/>
        <v>500000</v>
      </c>
      <c r="AL65" s="328"/>
      <c r="AM65" s="322"/>
      <c r="AN65" s="323"/>
      <c r="AO65" s="323"/>
      <c r="AP65" s="324"/>
      <c r="AQ65" s="324"/>
      <c r="AR65" s="324"/>
      <c r="AS65" s="324"/>
      <c r="AT65" s="325"/>
      <c r="AU65" s="325"/>
      <c r="AV65" s="325"/>
      <c r="AW65" s="326"/>
      <c r="AX65" s="332">
        <f t="shared" si="16"/>
        <v>0</v>
      </c>
      <c r="AY65" s="333">
        <f t="shared" si="17"/>
        <v>500000</v>
      </c>
    </row>
    <row r="66" spans="1:51" s="330" customFormat="1" ht="15" customHeight="1" x14ac:dyDescent="0.25">
      <c r="A66" s="306"/>
      <c r="B66" s="307"/>
      <c r="C66" s="307"/>
      <c r="D66" s="308"/>
      <c r="E66" s="308"/>
      <c r="F66" s="308"/>
      <c r="G66" s="307"/>
      <c r="H66" s="311"/>
      <c r="I66" s="312"/>
      <c r="J66" s="331" t="s">
        <v>782</v>
      </c>
      <c r="K66" s="314"/>
      <c r="L66" s="316"/>
      <c r="M66" s="316"/>
      <c r="N66" s="316"/>
      <c r="O66" s="316">
        <v>35</v>
      </c>
      <c r="P66" s="316" t="s">
        <v>755</v>
      </c>
      <c r="Q66" s="316" t="s">
        <v>658</v>
      </c>
      <c r="R66" s="316">
        <v>1</v>
      </c>
      <c r="S66" s="316" t="s">
        <v>683</v>
      </c>
      <c r="T66" s="317">
        <f>R66*O66</f>
        <v>35</v>
      </c>
      <c r="U66" s="317" t="s">
        <v>755</v>
      </c>
      <c r="V66" s="318">
        <v>100000</v>
      </c>
      <c r="W66" s="484">
        <f>V66*T66</f>
        <v>3500000</v>
      </c>
      <c r="X66" s="320" t="s">
        <v>649</v>
      </c>
      <c r="Y66" s="321"/>
      <c r="Z66" s="322"/>
      <c r="AA66" s="323"/>
      <c r="AB66" s="323"/>
      <c r="AC66" s="324"/>
      <c r="AD66" s="324"/>
      <c r="AE66" s="324"/>
      <c r="AF66" s="324"/>
      <c r="AG66" s="325"/>
      <c r="AH66" s="325"/>
      <c r="AI66" s="325"/>
      <c r="AJ66" s="326"/>
      <c r="AK66" s="332"/>
      <c r="AL66" s="328"/>
      <c r="AM66" s="322"/>
      <c r="AN66" s="323"/>
      <c r="AO66" s="323"/>
      <c r="AP66" s="324"/>
      <c r="AQ66" s="324"/>
      <c r="AR66" s="324"/>
      <c r="AS66" s="324"/>
      <c r="AT66" s="325"/>
      <c r="AU66" s="325"/>
      <c r="AV66" s="325"/>
      <c r="AW66" s="326"/>
      <c r="AX66" s="332"/>
      <c r="AY66" s="333"/>
    </row>
    <row r="67" spans="1:51" s="330" customFormat="1" ht="15" customHeight="1" x14ac:dyDescent="0.2">
      <c r="A67" s="306"/>
      <c r="B67" s="307"/>
      <c r="C67" s="307"/>
      <c r="D67" s="308"/>
      <c r="E67" s="308"/>
      <c r="F67" s="308"/>
      <c r="G67" s="307"/>
      <c r="H67" s="311"/>
      <c r="I67" s="312"/>
      <c r="J67" s="330" t="s">
        <v>880</v>
      </c>
      <c r="O67" s="316">
        <v>1</v>
      </c>
      <c r="P67" s="316" t="s">
        <v>881</v>
      </c>
      <c r="Q67" s="316" t="s">
        <v>658</v>
      </c>
      <c r="R67" s="316">
        <v>3</v>
      </c>
      <c r="S67" s="316" t="s">
        <v>683</v>
      </c>
      <c r="T67" s="317">
        <v>3</v>
      </c>
      <c r="U67" s="317" t="s">
        <v>683</v>
      </c>
      <c r="V67" s="318">
        <v>2400000</v>
      </c>
      <c r="W67" s="484">
        <f>V67*T67</f>
        <v>7200000</v>
      </c>
      <c r="X67" s="320" t="s">
        <v>649</v>
      </c>
      <c r="Y67" s="321"/>
      <c r="Z67" s="322"/>
      <c r="AA67" s="323"/>
      <c r="AB67" s="323"/>
      <c r="AC67" s="324"/>
      <c r="AD67" s="324"/>
      <c r="AE67" s="324"/>
      <c r="AF67" s="324"/>
      <c r="AG67" s="325"/>
      <c r="AH67" s="325"/>
      <c r="AI67" s="325"/>
      <c r="AJ67" s="326"/>
      <c r="AK67" s="332"/>
      <c r="AL67" s="328"/>
      <c r="AM67" s="322"/>
      <c r="AN67" s="323"/>
      <c r="AO67" s="323"/>
      <c r="AP67" s="324"/>
      <c r="AQ67" s="324"/>
      <c r="AR67" s="324"/>
      <c r="AS67" s="324"/>
      <c r="AT67" s="325"/>
      <c r="AU67" s="325"/>
      <c r="AV67" s="325"/>
      <c r="AW67" s="326"/>
      <c r="AX67" s="332"/>
      <c r="AY67" s="333"/>
    </row>
    <row r="68" spans="1:51" s="268" customFormat="1" ht="15" customHeight="1" thickBot="1" x14ac:dyDescent="0.3">
      <c r="A68" s="349"/>
      <c r="B68" s="350"/>
      <c r="C68" s="350"/>
      <c r="D68" s="351"/>
      <c r="E68" s="351"/>
      <c r="F68" s="351"/>
      <c r="G68" s="350"/>
      <c r="H68" s="352"/>
      <c r="I68" s="353"/>
      <c r="J68" s="354"/>
      <c r="K68" s="314"/>
      <c r="L68" s="331"/>
      <c r="M68" s="355"/>
      <c r="N68" s="355"/>
      <c r="O68" s="355"/>
      <c r="P68" s="355"/>
      <c r="Q68" s="355"/>
      <c r="R68" s="355"/>
      <c r="S68" s="355"/>
      <c r="T68" s="356"/>
      <c r="U68" s="317"/>
      <c r="V68" s="357"/>
      <c r="W68" s="358"/>
      <c r="X68" s="348"/>
      <c r="Y68" s="359"/>
      <c r="Z68" s="360"/>
      <c r="AA68" s="360"/>
      <c r="AB68" s="360"/>
      <c r="AC68" s="361"/>
      <c r="AD68" s="361"/>
      <c r="AE68" s="361"/>
      <c r="AF68" s="361"/>
      <c r="AG68" s="362"/>
      <c r="AH68" s="362"/>
      <c r="AI68" s="362"/>
      <c r="AJ68" s="363"/>
      <c r="AK68" s="265"/>
      <c r="AL68" s="364"/>
      <c r="AM68" s="360"/>
      <c r="AN68" s="360"/>
      <c r="AO68" s="360"/>
      <c r="AP68" s="361"/>
      <c r="AQ68" s="361"/>
      <c r="AR68" s="361"/>
      <c r="AS68" s="361"/>
      <c r="AT68" s="362"/>
      <c r="AU68" s="362"/>
      <c r="AV68" s="362"/>
      <c r="AW68" s="363"/>
      <c r="AX68" s="265"/>
      <c r="AY68" s="267"/>
    </row>
    <row r="69" spans="1:51" s="379" customFormat="1" ht="20.25" customHeight="1" thickBot="1" x14ac:dyDescent="0.3">
      <c r="A69" s="365" t="s">
        <v>157</v>
      </c>
      <c r="B69" s="366"/>
      <c r="C69" s="367"/>
      <c r="D69" s="367"/>
      <c r="E69" s="367"/>
      <c r="F69" s="367"/>
      <c r="G69" s="367"/>
      <c r="H69" s="367"/>
      <c r="I69" s="367"/>
      <c r="J69" s="367"/>
      <c r="K69" s="367"/>
      <c r="L69" s="367"/>
      <c r="M69" s="367"/>
      <c r="N69" s="367"/>
      <c r="O69" s="367"/>
      <c r="P69" s="367"/>
      <c r="Q69" s="367"/>
      <c r="R69" s="367"/>
      <c r="S69" s="367"/>
      <c r="T69" s="367"/>
      <c r="U69" s="367"/>
      <c r="V69" s="368"/>
      <c r="W69" s="369">
        <f>W39</f>
        <v>47020000</v>
      </c>
      <c r="X69" s="370"/>
      <c r="Y69" s="371"/>
      <c r="Z69" s="372"/>
      <c r="AA69" s="372"/>
      <c r="AB69" s="372"/>
      <c r="AC69" s="373"/>
      <c r="AD69" s="373"/>
      <c r="AE69" s="373"/>
      <c r="AF69" s="373"/>
      <c r="AG69" s="374"/>
      <c r="AH69" s="374"/>
      <c r="AI69" s="374"/>
      <c r="AJ69" s="375"/>
      <c r="AK69" s="376">
        <f>SUM(AK38:AK68)</f>
        <v>16120000</v>
      </c>
      <c r="AL69" s="377"/>
      <c r="AM69" s="372"/>
      <c r="AN69" s="372"/>
      <c r="AO69" s="372"/>
      <c r="AP69" s="373"/>
      <c r="AQ69" s="373"/>
      <c r="AR69" s="373"/>
      <c r="AS69" s="373"/>
      <c r="AT69" s="374"/>
      <c r="AU69" s="374"/>
      <c r="AV69" s="374"/>
      <c r="AW69" s="375"/>
      <c r="AX69" s="376">
        <f>SUM(AX38:AX68)</f>
        <v>0</v>
      </c>
      <c r="AY69" s="378">
        <f>SUM(AY38:AY68)</f>
        <v>16120000</v>
      </c>
    </row>
    <row r="70" spans="1:51" s="268" customFormat="1" ht="15.75" x14ac:dyDescent="0.25">
      <c r="A70" s="219" t="s">
        <v>158</v>
      </c>
      <c r="B70" s="380"/>
      <c r="C70" s="380"/>
      <c r="D70" s="380"/>
      <c r="E70" s="380"/>
      <c r="F70" s="380"/>
      <c r="G70" s="380"/>
      <c r="H70" s="380"/>
      <c r="I70" s="380"/>
      <c r="J70" s="380"/>
      <c r="K70" s="381"/>
      <c r="L70" s="382"/>
      <c r="M70" s="380"/>
      <c r="N70" s="380"/>
      <c r="O70" s="380"/>
      <c r="P70" s="380"/>
      <c r="Q70" s="380"/>
      <c r="R70" s="380"/>
      <c r="S70" s="380"/>
      <c r="T70" s="383"/>
      <c r="U70" s="384"/>
      <c r="V70" s="384"/>
      <c r="W70" s="384"/>
      <c r="X70" s="385"/>
      <c r="Y70" s="386"/>
      <c r="Z70" s="387"/>
      <c r="AA70" s="387"/>
      <c r="AB70" s="387"/>
      <c r="AC70" s="387"/>
      <c r="AD70" s="387"/>
      <c r="AE70" s="387"/>
      <c r="AF70" s="387"/>
      <c r="AG70" s="387"/>
      <c r="AH70" s="387"/>
      <c r="AI70" s="387"/>
      <c r="AJ70" s="387"/>
    </row>
    <row r="71" spans="1:51" s="268" customFormat="1" ht="15.75" x14ac:dyDescent="0.25">
      <c r="A71" s="219" t="s">
        <v>159</v>
      </c>
      <c r="B71" s="220"/>
      <c r="C71" s="380"/>
      <c r="D71" s="660" t="s">
        <v>160</v>
      </c>
      <c r="E71" s="660"/>
      <c r="F71" s="660"/>
      <c r="G71" s="660"/>
      <c r="H71" s="660"/>
      <c r="I71" s="388"/>
      <c r="J71" s="388"/>
      <c r="K71" s="389"/>
      <c r="L71" s="390"/>
      <c r="M71" s="391"/>
      <c r="N71" s="391"/>
      <c r="O71" s="391"/>
      <c r="P71" s="391"/>
      <c r="Q71" s="391"/>
      <c r="R71" s="391"/>
      <c r="S71" s="391"/>
      <c r="T71" s="380"/>
      <c r="U71" s="388"/>
      <c r="V71" s="392" t="s">
        <v>841</v>
      </c>
      <c r="W71" s="393"/>
      <c r="X71" s="394"/>
      <c r="Y71" s="387"/>
      <c r="Z71" s="387"/>
      <c r="AA71" s="387" t="s">
        <v>161</v>
      </c>
      <c r="AB71" s="387"/>
      <c r="AC71" s="387"/>
      <c r="AD71" s="387"/>
      <c r="AE71" s="387"/>
      <c r="AF71" s="387"/>
      <c r="AG71" s="387"/>
      <c r="AH71" s="387"/>
      <c r="AI71" s="387"/>
      <c r="AJ71" s="387"/>
    </row>
    <row r="72" spans="1:51" s="268" customFormat="1" ht="12" customHeight="1" x14ac:dyDescent="0.25">
      <c r="A72" s="219" t="s">
        <v>162</v>
      </c>
      <c r="B72" s="220"/>
      <c r="C72" s="380"/>
      <c r="D72" s="660" t="s">
        <v>160</v>
      </c>
      <c r="E72" s="660"/>
      <c r="F72" s="660"/>
      <c r="G72" s="660"/>
      <c r="H72" s="660"/>
      <c r="I72" s="388"/>
      <c r="J72" s="388"/>
      <c r="K72" s="389"/>
      <c r="L72" s="390"/>
      <c r="M72" s="391"/>
      <c r="N72" s="391"/>
      <c r="O72" s="391"/>
      <c r="P72" s="391"/>
      <c r="Q72" s="391"/>
      <c r="R72" s="391"/>
      <c r="S72" s="391"/>
      <c r="T72" s="380"/>
      <c r="U72" s="384"/>
      <c r="V72" s="395" t="s">
        <v>26</v>
      </c>
      <c r="W72" s="393"/>
      <c r="X72" s="394"/>
      <c r="Y72" s="387"/>
      <c r="Z72" s="387"/>
      <c r="AA72" s="387"/>
      <c r="AB72" s="387"/>
      <c r="AC72" s="387"/>
      <c r="AD72" s="387"/>
      <c r="AE72" s="387"/>
      <c r="AF72" s="387"/>
      <c r="AG72" s="387"/>
      <c r="AH72" s="387"/>
      <c r="AI72" s="387"/>
      <c r="AJ72" s="387"/>
    </row>
    <row r="73" spans="1:51" s="268" customFormat="1" ht="15.75" x14ac:dyDescent="0.25">
      <c r="A73" s="219" t="s">
        <v>163</v>
      </c>
      <c r="B73" s="220"/>
      <c r="C73" s="380"/>
      <c r="D73" s="660" t="s">
        <v>160</v>
      </c>
      <c r="E73" s="660"/>
      <c r="F73" s="660"/>
      <c r="G73" s="660"/>
      <c r="H73" s="660"/>
      <c r="I73" s="388"/>
      <c r="J73" s="388"/>
      <c r="K73" s="389"/>
      <c r="L73" s="390"/>
      <c r="M73" s="391"/>
      <c r="N73" s="391"/>
      <c r="O73" s="391"/>
      <c r="P73" s="391"/>
      <c r="Q73" s="391"/>
      <c r="R73" s="391"/>
      <c r="S73" s="391"/>
      <c r="T73" s="380"/>
      <c r="U73" s="384"/>
      <c r="V73" s="395"/>
      <c r="W73" s="393"/>
      <c r="X73" s="394"/>
      <c r="Y73" s="387"/>
      <c r="Z73" s="387"/>
      <c r="AA73" s="387"/>
      <c r="AB73" s="387"/>
      <c r="AC73" s="387"/>
      <c r="AD73" s="387"/>
      <c r="AE73" s="387"/>
      <c r="AF73" s="387"/>
      <c r="AG73" s="387"/>
      <c r="AH73" s="387"/>
      <c r="AI73" s="387"/>
      <c r="AJ73" s="387"/>
    </row>
    <row r="74" spans="1:51" s="268" customFormat="1" ht="15.75" x14ac:dyDescent="0.25">
      <c r="A74" s="219"/>
      <c r="B74" s="220"/>
      <c r="C74" s="380"/>
      <c r="D74" s="659"/>
      <c r="E74" s="659"/>
      <c r="F74" s="659"/>
      <c r="G74" s="659"/>
      <c r="H74" s="659"/>
      <c r="I74" s="388"/>
      <c r="J74" s="388"/>
      <c r="K74" s="396"/>
      <c r="L74" s="390"/>
      <c r="M74" s="391"/>
      <c r="N74" s="391"/>
      <c r="O74" s="391"/>
      <c r="P74" s="391"/>
      <c r="Q74" s="391"/>
      <c r="R74" s="391"/>
      <c r="S74" s="391"/>
      <c r="T74" s="380"/>
      <c r="U74" s="393"/>
      <c r="V74" s="395"/>
      <c r="W74" s="393"/>
      <c r="X74" s="394"/>
      <c r="Y74" s="387"/>
      <c r="Z74" s="387"/>
      <c r="AA74" s="387"/>
      <c r="AB74" s="387"/>
      <c r="AC74" s="387"/>
      <c r="AD74" s="387"/>
      <c r="AE74" s="387"/>
      <c r="AF74" s="387"/>
      <c r="AG74" s="387"/>
      <c r="AH74" s="387"/>
      <c r="AI74" s="387"/>
      <c r="AJ74" s="387"/>
    </row>
    <row r="75" spans="1:51" s="268" customFormat="1" ht="15.75" x14ac:dyDescent="0.25">
      <c r="A75" s="219" t="s">
        <v>87</v>
      </c>
      <c r="B75" s="220"/>
      <c r="C75" s="380"/>
      <c r="D75" s="660" t="s">
        <v>160</v>
      </c>
      <c r="E75" s="660"/>
      <c r="F75" s="660"/>
      <c r="G75" s="660"/>
      <c r="H75" s="660"/>
      <c r="I75" s="388"/>
      <c r="J75" s="388"/>
      <c r="K75" s="396"/>
      <c r="L75" s="390"/>
      <c r="M75" s="391"/>
      <c r="N75" s="391"/>
      <c r="O75" s="391"/>
      <c r="P75" s="391"/>
      <c r="Q75" s="391"/>
      <c r="R75" s="391"/>
      <c r="S75" s="391"/>
      <c r="T75" s="380"/>
      <c r="U75" s="393"/>
      <c r="V75" s="397"/>
      <c r="W75" s="398"/>
      <c r="X75" s="394"/>
      <c r="Y75" s="387"/>
      <c r="Z75" s="387"/>
      <c r="AA75" s="387"/>
      <c r="AB75" s="387"/>
      <c r="AC75" s="387"/>
      <c r="AD75" s="387"/>
      <c r="AE75" s="387"/>
      <c r="AF75" s="387"/>
      <c r="AG75" s="387"/>
      <c r="AH75" s="387"/>
      <c r="AI75" s="387"/>
      <c r="AJ75" s="387"/>
    </row>
    <row r="76" spans="1:51" s="268" customFormat="1" ht="15.75" x14ac:dyDescent="0.25">
      <c r="A76" s="399"/>
      <c r="B76" s="380"/>
      <c r="C76" s="380"/>
      <c r="D76" s="380"/>
      <c r="E76" s="380"/>
      <c r="F76" s="380"/>
      <c r="G76" s="380"/>
      <c r="H76" s="380"/>
      <c r="I76" s="388"/>
      <c r="J76" s="388"/>
      <c r="K76" s="396"/>
      <c r="L76" s="390"/>
      <c r="M76" s="391"/>
      <c r="N76" s="391"/>
      <c r="O76" s="391"/>
      <c r="P76" s="391"/>
      <c r="Q76" s="391"/>
      <c r="R76" s="391"/>
      <c r="S76" s="391"/>
      <c r="T76" s="380"/>
      <c r="U76" s="223"/>
      <c r="V76" s="400" t="s">
        <v>28</v>
      </c>
      <c r="W76" s="401"/>
      <c r="X76" s="394"/>
      <c r="Y76" s="387"/>
      <c r="Z76" s="387"/>
      <c r="AA76" s="387"/>
      <c r="AB76" s="387"/>
      <c r="AC76" s="387"/>
      <c r="AD76" s="387"/>
      <c r="AE76" s="387"/>
      <c r="AF76" s="387"/>
      <c r="AG76" s="387"/>
      <c r="AH76" s="387"/>
      <c r="AI76" s="387"/>
      <c r="AJ76" s="387"/>
    </row>
    <row r="77" spans="1:51" s="268" customFormat="1" ht="15.75" x14ac:dyDescent="0.25">
      <c r="A77" s="399"/>
      <c r="B77" s="380"/>
      <c r="C77" s="380"/>
      <c r="D77" s="380"/>
      <c r="E77" s="380"/>
      <c r="F77" s="380"/>
      <c r="G77" s="380"/>
      <c r="H77" s="380"/>
      <c r="I77" s="393"/>
      <c r="J77" s="388"/>
      <c r="K77" s="389"/>
      <c r="L77" s="390"/>
      <c r="M77" s="391"/>
      <c r="N77" s="391"/>
      <c r="O77" s="391"/>
      <c r="P77" s="391"/>
      <c r="Q77" s="391"/>
      <c r="R77" s="391"/>
      <c r="S77" s="391"/>
      <c r="T77" s="380"/>
      <c r="U77" s="223"/>
      <c r="V77" s="402" t="s">
        <v>76</v>
      </c>
      <c r="W77" s="393"/>
      <c r="X77" s="394"/>
      <c r="Y77" s="387"/>
      <c r="Z77" s="387"/>
      <c r="AA77" s="387"/>
      <c r="AB77" s="387"/>
      <c r="AC77" s="387"/>
      <c r="AD77" s="387"/>
      <c r="AE77" s="387"/>
      <c r="AF77" s="387"/>
      <c r="AG77" s="387"/>
      <c r="AH77" s="387"/>
      <c r="AI77" s="387"/>
      <c r="AJ77" s="387"/>
    </row>
    <row r="78" spans="1:51" s="268" customFormat="1" ht="11.25" customHeight="1" thickBot="1" x14ac:dyDescent="0.3">
      <c r="A78" s="403"/>
      <c r="B78" s="404"/>
      <c r="C78" s="404"/>
      <c r="D78" s="404"/>
      <c r="E78" s="404"/>
      <c r="F78" s="404"/>
      <c r="G78" s="404"/>
      <c r="H78" s="404"/>
      <c r="I78" s="405"/>
      <c r="J78" s="405"/>
      <c r="K78" s="406"/>
      <c r="L78" s="407"/>
      <c r="M78" s="405"/>
      <c r="N78" s="405"/>
      <c r="O78" s="405"/>
      <c r="P78" s="405"/>
      <c r="Q78" s="405"/>
      <c r="R78" s="405"/>
      <c r="S78" s="405"/>
      <c r="T78" s="408"/>
      <c r="U78" s="409"/>
      <c r="V78" s="410"/>
      <c r="W78" s="410"/>
      <c r="X78" s="411"/>
      <c r="Y78" s="387"/>
      <c r="Z78" s="387"/>
      <c r="AA78" s="387"/>
      <c r="AB78" s="387"/>
      <c r="AC78" s="387"/>
      <c r="AD78" s="387"/>
      <c r="AE78" s="387"/>
      <c r="AF78" s="387"/>
      <c r="AG78" s="387"/>
      <c r="AH78" s="387"/>
      <c r="AI78" s="387"/>
      <c r="AJ78" s="387"/>
    </row>
    <row r="79" spans="1:51" s="199" customFormat="1" ht="15.75" x14ac:dyDescent="0.25">
      <c r="A79" s="412"/>
      <c r="B79" s="412"/>
      <c r="C79" s="412"/>
      <c r="D79" s="412"/>
      <c r="E79" s="412"/>
      <c r="F79" s="412"/>
      <c r="G79" s="412"/>
      <c r="H79" s="412"/>
      <c r="I79" s="413"/>
      <c r="J79" s="413"/>
      <c r="K79" s="413"/>
      <c r="L79" s="414"/>
      <c r="M79" s="412"/>
      <c r="N79" s="412"/>
      <c r="O79" s="412"/>
      <c r="P79" s="412"/>
      <c r="Q79" s="412"/>
      <c r="R79" s="412"/>
      <c r="S79" s="412"/>
      <c r="T79" s="412"/>
      <c r="U79" s="413"/>
      <c r="V79" s="413"/>
      <c r="W79" s="413"/>
      <c r="X79" s="413"/>
      <c r="Y79" s="198"/>
      <c r="Z79" s="198"/>
      <c r="AA79" s="198"/>
      <c r="AB79" s="198"/>
      <c r="AC79" s="198"/>
      <c r="AD79" s="198"/>
      <c r="AE79" s="198"/>
      <c r="AF79" s="198"/>
      <c r="AG79" s="198"/>
      <c r="AH79" s="198"/>
      <c r="AI79" s="198"/>
      <c r="AJ79" s="198"/>
    </row>
    <row r="80" spans="1:51" s="199" customFormat="1" ht="15.75" x14ac:dyDescent="0.25">
      <c r="A80" s="412"/>
      <c r="B80" s="412"/>
      <c r="C80" s="412"/>
      <c r="D80" s="412"/>
      <c r="E80" s="412"/>
      <c r="F80" s="412"/>
      <c r="G80" s="412"/>
      <c r="H80" s="412"/>
      <c r="I80" s="413"/>
      <c r="J80" s="413"/>
      <c r="K80" s="413"/>
      <c r="L80" s="414"/>
      <c r="M80" s="412"/>
      <c r="N80" s="412"/>
      <c r="O80" s="412"/>
      <c r="P80" s="412"/>
      <c r="Q80" s="412"/>
      <c r="R80" s="412"/>
      <c r="S80" s="412"/>
      <c r="T80" s="412"/>
      <c r="U80" s="413"/>
      <c r="V80" s="413"/>
      <c r="W80" s="413"/>
      <c r="X80" s="413"/>
      <c r="Y80" s="198"/>
      <c r="Z80" s="198"/>
      <c r="AA80" s="198"/>
      <c r="AB80" s="198"/>
      <c r="AC80" s="198"/>
      <c r="AD80" s="198"/>
      <c r="AE80" s="198"/>
      <c r="AF80" s="198"/>
      <c r="AG80" s="198"/>
      <c r="AH80" s="198"/>
      <c r="AI80" s="198"/>
      <c r="AJ80" s="198"/>
    </row>
    <row r="81" spans="1:36" s="199" customFormat="1" ht="15.75" x14ac:dyDescent="0.25">
      <c r="A81" s="412"/>
      <c r="B81" s="412"/>
      <c r="C81" s="412"/>
      <c r="D81" s="412"/>
      <c r="E81" s="412"/>
      <c r="F81" s="412"/>
      <c r="G81" s="412"/>
      <c r="H81" s="412"/>
      <c r="I81" s="413"/>
      <c r="J81" s="413"/>
      <c r="K81" s="413"/>
      <c r="L81" s="414"/>
      <c r="M81" s="412"/>
      <c r="N81" s="412"/>
      <c r="O81" s="412"/>
      <c r="P81" s="412"/>
      <c r="Q81" s="412"/>
      <c r="R81" s="412"/>
      <c r="S81" s="412"/>
      <c r="T81" s="412"/>
      <c r="U81" s="413"/>
      <c r="V81" s="413"/>
      <c r="W81" s="413"/>
      <c r="X81" s="413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</row>
    <row r="82" spans="1:36" ht="15.75" x14ac:dyDescent="0.25">
      <c r="A82" s="412"/>
      <c r="B82" s="412"/>
      <c r="C82" s="412"/>
      <c r="D82" s="412"/>
      <c r="E82" s="412"/>
      <c r="F82" s="412"/>
      <c r="G82" s="412"/>
      <c r="H82" s="412"/>
      <c r="I82" s="413"/>
      <c r="J82" s="413"/>
      <c r="K82" s="413"/>
      <c r="L82" s="414"/>
      <c r="M82" s="412"/>
      <c r="N82" s="412"/>
      <c r="O82" s="412"/>
      <c r="P82" s="412"/>
      <c r="Q82" s="412"/>
      <c r="R82" s="412"/>
      <c r="S82" s="412"/>
      <c r="T82" s="412"/>
      <c r="U82" s="413"/>
      <c r="V82" s="413"/>
      <c r="W82" s="413"/>
      <c r="X82" s="413"/>
    </row>
  </sheetData>
  <mergeCells count="72">
    <mergeCell ref="D74:H74"/>
    <mergeCell ref="D75:H75"/>
    <mergeCell ref="A38:H38"/>
    <mergeCell ref="I38:K38"/>
    <mergeCell ref="L38:S38"/>
    <mergeCell ref="D71:H71"/>
    <mergeCell ref="D72:H72"/>
    <mergeCell ref="D73:H73"/>
    <mergeCell ref="AI36:AI37"/>
    <mergeCell ref="AW36:AW37"/>
    <mergeCell ref="AL36:AL37"/>
    <mergeCell ref="AM36:AM37"/>
    <mergeCell ref="AN36:AN37"/>
    <mergeCell ref="AO36:AO37"/>
    <mergeCell ref="AP36:AP37"/>
    <mergeCell ref="AQ36:AQ37"/>
    <mergeCell ref="AR36:AR37"/>
    <mergeCell ref="AS36:AS37"/>
    <mergeCell ref="AT36:AT37"/>
    <mergeCell ref="AU36:AU37"/>
    <mergeCell ref="AV36:AV37"/>
    <mergeCell ref="Y33:AJ35"/>
    <mergeCell ref="AK33:AK37"/>
    <mergeCell ref="AL33:AW35"/>
    <mergeCell ref="AX33:AX37"/>
    <mergeCell ref="AY33:AY37"/>
    <mergeCell ref="AJ36:AJ37"/>
    <mergeCell ref="Y36:Y37"/>
    <mergeCell ref="Z36:Z37"/>
    <mergeCell ref="AA36:AA37"/>
    <mergeCell ref="AB36:AB37"/>
    <mergeCell ref="AC36:AC37"/>
    <mergeCell ref="AD36:AD37"/>
    <mergeCell ref="AE36:AE37"/>
    <mergeCell ref="AF36:AF37"/>
    <mergeCell ref="AG36:AG37"/>
    <mergeCell ref="AH36:AH37"/>
    <mergeCell ref="A26:I26"/>
    <mergeCell ref="A30:I30"/>
    <mergeCell ref="A31:X31"/>
    <mergeCell ref="A32:X32"/>
    <mergeCell ref="A33:H37"/>
    <mergeCell ref="I33:K37"/>
    <mergeCell ref="L33:V34"/>
    <mergeCell ref="W33:W35"/>
    <mergeCell ref="X33:X37"/>
    <mergeCell ref="L35:S37"/>
    <mergeCell ref="T35:T37"/>
    <mergeCell ref="U35:U37"/>
    <mergeCell ref="V35:V37"/>
    <mergeCell ref="W36:W37"/>
    <mergeCell ref="V23:X23"/>
    <mergeCell ref="A14:I14"/>
    <mergeCell ref="J14:U14"/>
    <mergeCell ref="V14:X14"/>
    <mergeCell ref="A15:I15"/>
    <mergeCell ref="A16:I19"/>
    <mergeCell ref="V16:X16"/>
    <mergeCell ref="V17:X17"/>
    <mergeCell ref="V18:X18"/>
    <mergeCell ref="V19:X19"/>
    <mergeCell ref="A20:I20"/>
    <mergeCell ref="V20:X20"/>
    <mergeCell ref="V21:X21"/>
    <mergeCell ref="K22:U22"/>
    <mergeCell ref="V22:X22"/>
    <mergeCell ref="A13:X13"/>
    <mergeCell ref="V3:X3"/>
    <mergeCell ref="A5:X5"/>
    <mergeCell ref="A6:X6"/>
    <mergeCell ref="A7:I7"/>
    <mergeCell ref="A9:I9"/>
  </mergeCells>
  <pageMargins left="0.85" right="0" top="1" bottom="1.5" header="0.42" footer="0.31"/>
  <pageSetup paperSize="124" scale="57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896B4-2AD0-4030-ABAA-D5BE3AE0B82D}">
  <dimension ref="A1:AY72"/>
  <sheetViews>
    <sheetView showGridLines="0" topLeftCell="F35" zoomScale="70" zoomScaleNormal="70" zoomScaleSheetLayoutView="70" zoomScalePageLayoutView="40" workbookViewId="0">
      <selection activeCell="Y70" sqref="Y70"/>
    </sheetView>
  </sheetViews>
  <sheetFormatPr defaultColWidth="9.140625" defaultRowHeight="12.75" x14ac:dyDescent="0.2"/>
  <cols>
    <col min="1" max="6" width="3.7109375" style="415" customWidth="1"/>
    <col min="7" max="7" width="5.85546875" style="415" bestFit="1" customWidth="1"/>
    <col min="8" max="8" width="3.7109375" style="415" customWidth="1"/>
    <col min="9" max="9" width="2" style="176" customWidth="1"/>
    <col min="10" max="10" width="3.140625" style="176" customWidth="1"/>
    <col min="11" max="11" width="37.140625" style="176" customWidth="1"/>
    <col min="12" max="12" width="4.140625" style="416" customWidth="1"/>
    <col min="13" max="15" width="4" style="415" customWidth="1"/>
    <col min="16" max="16" width="6.5703125" style="415" bestFit="1" customWidth="1"/>
    <col min="17" max="17" width="4" style="415" customWidth="1"/>
    <col min="18" max="18" width="4.7109375" style="415" customWidth="1"/>
    <col min="19" max="19" width="6.7109375" style="415" bestFit="1" customWidth="1"/>
    <col min="20" max="20" width="8.5703125" style="415" customWidth="1"/>
    <col min="21" max="21" width="9.28515625" style="176" customWidth="1"/>
    <col min="22" max="22" width="12.140625" style="176" customWidth="1"/>
    <col min="23" max="23" width="13.7109375" style="176" customWidth="1"/>
    <col min="24" max="24" width="9.5703125" style="176" customWidth="1"/>
    <col min="25" max="25" width="10.28515625" style="175" bestFit="1" customWidth="1"/>
    <col min="26" max="26" width="8" style="175" customWidth="1"/>
    <col min="27" max="29" width="9.28515625" style="175" bestFit="1" customWidth="1"/>
    <col min="30" max="30" width="8" style="175" customWidth="1"/>
    <col min="31" max="31" width="9.28515625" style="175" bestFit="1" customWidth="1"/>
    <col min="32" max="33" width="8" style="175" customWidth="1"/>
    <col min="34" max="35" width="9.28515625" style="175" bestFit="1" customWidth="1"/>
    <col min="36" max="36" width="8" style="175" customWidth="1"/>
    <col min="37" max="37" width="10.28515625" style="176" bestFit="1" customWidth="1"/>
    <col min="38" max="50" width="9.140625" style="176"/>
    <col min="51" max="51" width="10.28515625" style="176" bestFit="1" customWidth="1"/>
    <col min="52" max="16384" width="9.140625" style="176"/>
  </cols>
  <sheetData>
    <row r="1" spans="1:36" ht="14.25" customHeight="1" x14ac:dyDescent="0.2">
      <c r="A1" s="169"/>
      <c r="B1" s="170"/>
      <c r="C1" s="170"/>
      <c r="D1" s="170"/>
      <c r="E1" s="170"/>
      <c r="F1" s="170"/>
      <c r="G1" s="170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2"/>
      <c r="U1" s="171"/>
      <c r="V1" s="173"/>
      <c r="W1" s="171"/>
      <c r="X1" s="174"/>
    </row>
    <row r="2" spans="1:36" ht="18.75" customHeight="1" x14ac:dyDescent="0.4">
      <c r="A2" s="177"/>
      <c r="B2" s="178"/>
      <c r="C2" s="178"/>
      <c r="D2" s="178"/>
      <c r="E2" s="178"/>
      <c r="F2" s="178"/>
      <c r="G2" s="178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80"/>
      <c r="U2" s="179"/>
      <c r="V2" s="181"/>
      <c r="W2" s="179"/>
      <c r="X2" s="182"/>
    </row>
    <row r="3" spans="1:36" ht="24.75" customHeight="1" x14ac:dyDescent="0.2">
      <c r="A3" s="183"/>
      <c r="B3" s="184"/>
      <c r="C3" s="184"/>
      <c r="D3" s="184"/>
      <c r="E3" s="184"/>
      <c r="F3" s="184"/>
      <c r="G3" s="184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6"/>
      <c r="U3" s="185"/>
      <c r="V3" s="562" t="s">
        <v>21</v>
      </c>
      <c r="W3" s="563"/>
      <c r="X3" s="564"/>
    </row>
    <row r="4" spans="1:36" ht="32.25" customHeight="1" thickBot="1" x14ac:dyDescent="0.25">
      <c r="A4" s="187"/>
      <c r="B4" s="188"/>
      <c r="C4" s="188"/>
      <c r="D4" s="188"/>
      <c r="E4" s="188"/>
      <c r="F4" s="188"/>
      <c r="G4" s="188"/>
      <c r="H4" s="189"/>
      <c r="I4" s="189"/>
      <c r="J4" s="189"/>
      <c r="K4" s="190"/>
      <c r="L4" s="189"/>
      <c r="M4" s="189"/>
      <c r="N4" s="189"/>
      <c r="O4" s="189"/>
      <c r="P4" s="189"/>
      <c r="Q4" s="189"/>
      <c r="R4" s="189"/>
      <c r="S4" s="189"/>
      <c r="T4" s="190"/>
      <c r="U4" s="189"/>
      <c r="V4" s="191"/>
      <c r="W4" s="192">
        <v>1</v>
      </c>
      <c r="X4" s="193"/>
    </row>
    <row r="5" spans="1:36" ht="21" customHeight="1" x14ac:dyDescent="0.2">
      <c r="A5" s="565" t="s">
        <v>1</v>
      </c>
      <c r="B5" s="566"/>
      <c r="C5" s="566"/>
      <c r="D5" s="566"/>
      <c r="E5" s="566"/>
      <c r="F5" s="566"/>
      <c r="G5" s="566"/>
      <c r="H5" s="566"/>
      <c r="I5" s="566"/>
      <c r="J5" s="566"/>
      <c r="K5" s="566"/>
      <c r="L5" s="566"/>
      <c r="M5" s="566"/>
      <c r="N5" s="566"/>
      <c r="O5" s="566"/>
      <c r="P5" s="566"/>
      <c r="Q5" s="566"/>
      <c r="R5" s="566"/>
      <c r="S5" s="566"/>
      <c r="T5" s="566"/>
      <c r="U5" s="566"/>
      <c r="V5" s="566"/>
      <c r="W5" s="566"/>
      <c r="X5" s="567"/>
    </row>
    <row r="6" spans="1:36" ht="21" customHeight="1" x14ac:dyDescent="0.2">
      <c r="A6" s="568" t="s">
        <v>836</v>
      </c>
      <c r="B6" s="569"/>
      <c r="C6" s="569"/>
      <c r="D6" s="569"/>
      <c r="E6" s="569"/>
      <c r="F6" s="569"/>
      <c r="G6" s="569"/>
      <c r="H6" s="569"/>
      <c r="I6" s="569"/>
      <c r="J6" s="569"/>
      <c r="K6" s="569"/>
      <c r="L6" s="569"/>
      <c r="M6" s="569"/>
      <c r="N6" s="569"/>
      <c r="O6" s="569"/>
      <c r="P6" s="569"/>
      <c r="Q6" s="569"/>
      <c r="R6" s="569"/>
      <c r="S6" s="569"/>
      <c r="T6" s="569"/>
      <c r="U6" s="569"/>
      <c r="V6" s="569"/>
      <c r="W6" s="569"/>
      <c r="X6" s="570"/>
    </row>
    <row r="7" spans="1:36" s="199" customFormat="1" ht="15" customHeight="1" x14ac:dyDescent="0.25">
      <c r="A7" s="571" t="s">
        <v>45</v>
      </c>
      <c r="B7" s="572"/>
      <c r="C7" s="572"/>
      <c r="D7" s="572"/>
      <c r="E7" s="572"/>
      <c r="F7" s="572"/>
      <c r="G7" s="572"/>
      <c r="H7" s="572"/>
      <c r="I7" s="572"/>
      <c r="J7" s="195" t="s">
        <v>113</v>
      </c>
      <c r="K7" s="196" t="s">
        <v>114</v>
      </c>
      <c r="L7" s="196"/>
      <c r="M7" s="196"/>
      <c r="N7" s="196"/>
      <c r="O7" s="196"/>
      <c r="P7" s="196"/>
      <c r="Q7" s="196"/>
      <c r="R7" s="196"/>
      <c r="S7" s="196"/>
      <c r="T7" s="196"/>
      <c r="U7" s="196"/>
      <c r="V7" s="196"/>
      <c r="W7" s="196"/>
      <c r="X7" s="197"/>
      <c r="Y7" s="198"/>
      <c r="Z7" s="198"/>
      <c r="AA7" s="198"/>
      <c r="AB7" s="198"/>
      <c r="AC7" s="198"/>
      <c r="AD7" s="198"/>
      <c r="AE7" s="198"/>
      <c r="AF7" s="198"/>
      <c r="AG7" s="198"/>
      <c r="AH7" s="198"/>
      <c r="AI7" s="198"/>
      <c r="AJ7" s="198"/>
    </row>
    <row r="8" spans="1:36" s="199" customFormat="1" ht="15" customHeight="1" x14ac:dyDescent="0.25">
      <c r="A8" s="194" t="s">
        <v>115</v>
      </c>
      <c r="B8" s="195"/>
      <c r="C8" s="195"/>
      <c r="D8" s="195"/>
      <c r="E8" s="195"/>
      <c r="F8" s="195"/>
      <c r="G8" s="195"/>
      <c r="H8" s="195"/>
      <c r="I8" s="195"/>
      <c r="J8" s="195" t="s">
        <v>113</v>
      </c>
      <c r="K8" s="200" t="s">
        <v>673</v>
      </c>
      <c r="L8" s="200"/>
      <c r="T8" s="200"/>
      <c r="U8" s="200"/>
      <c r="V8" s="200"/>
      <c r="W8" s="200"/>
      <c r="X8" s="201"/>
      <c r="Y8" s="198"/>
      <c r="Z8" s="198"/>
      <c r="AA8" s="198"/>
      <c r="AB8" s="198"/>
      <c r="AC8" s="198"/>
      <c r="AD8" s="198"/>
      <c r="AE8" s="198"/>
      <c r="AF8" s="198"/>
      <c r="AG8" s="198"/>
      <c r="AH8" s="198"/>
      <c r="AI8" s="198"/>
      <c r="AJ8" s="198"/>
    </row>
    <row r="9" spans="1:36" s="199" customFormat="1" ht="15" customHeight="1" x14ac:dyDescent="0.25">
      <c r="A9" s="573" t="s">
        <v>116</v>
      </c>
      <c r="B9" s="574"/>
      <c r="C9" s="574"/>
      <c r="D9" s="574"/>
      <c r="E9" s="574"/>
      <c r="F9" s="574"/>
      <c r="G9" s="574"/>
      <c r="H9" s="574"/>
      <c r="I9" s="574"/>
      <c r="J9" s="203" t="s">
        <v>113</v>
      </c>
      <c r="K9" s="204" t="s">
        <v>674</v>
      </c>
      <c r="L9" s="196"/>
      <c r="M9" s="204"/>
      <c r="N9" s="204"/>
      <c r="O9" s="204"/>
      <c r="P9" s="204"/>
      <c r="Q9" s="204"/>
      <c r="R9" s="204"/>
      <c r="S9" s="204"/>
      <c r="T9" s="196"/>
      <c r="U9" s="196"/>
      <c r="V9" s="196"/>
      <c r="W9" s="196"/>
      <c r="X9" s="197"/>
      <c r="Y9" s="198"/>
      <c r="Z9" s="198"/>
      <c r="AA9" s="198"/>
      <c r="AB9" s="198"/>
      <c r="AC9" s="198"/>
      <c r="AD9" s="198"/>
      <c r="AE9" s="198"/>
      <c r="AF9" s="198"/>
      <c r="AG9" s="198"/>
      <c r="AH9" s="198"/>
      <c r="AI9" s="198"/>
      <c r="AJ9" s="198"/>
    </row>
    <row r="10" spans="1:36" s="199" customFormat="1" ht="14.25" customHeight="1" x14ac:dyDescent="0.25">
      <c r="A10" s="202" t="s">
        <v>117</v>
      </c>
      <c r="B10" s="203"/>
      <c r="C10" s="205"/>
      <c r="D10" s="205"/>
      <c r="E10" s="205"/>
      <c r="F10" s="205"/>
      <c r="G10" s="205"/>
      <c r="H10" s="205"/>
      <c r="I10" s="203"/>
      <c r="J10" s="195" t="s">
        <v>113</v>
      </c>
      <c r="K10" s="206" t="s">
        <v>797</v>
      </c>
      <c r="L10" s="196"/>
      <c r="M10" s="196"/>
      <c r="N10" s="196"/>
      <c r="O10" s="196"/>
      <c r="P10" s="196"/>
      <c r="Q10" s="196"/>
      <c r="R10" s="196"/>
      <c r="S10" s="196"/>
      <c r="T10" s="207"/>
      <c r="U10" s="196"/>
      <c r="V10" s="196"/>
      <c r="W10" s="196"/>
      <c r="X10" s="197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</row>
    <row r="11" spans="1:36" s="199" customFormat="1" ht="14.25" customHeight="1" x14ac:dyDescent="0.25">
      <c r="A11" s="208" t="s">
        <v>118</v>
      </c>
      <c r="B11" s="209"/>
      <c r="C11" s="210"/>
      <c r="D11" s="210"/>
      <c r="E11" s="210"/>
      <c r="F11" s="210"/>
      <c r="G11" s="210"/>
      <c r="H11" s="210"/>
      <c r="I11" s="209"/>
      <c r="J11" s="195" t="s">
        <v>119</v>
      </c>
      <c r="K11" s="206" t="s">
        <v>114</v>
      </c>
      <c r="L11" s="211"/>
      <c r="M11" s="211"/>
      <c r="N11" s="211"/>
      <c r="O11" s="211"/>
      <c r="P11" s="211"/>
      <c r="Q11" s="211"/>
      <c r="R11" s="211"/>
      <c r="S11" s="211"/>
      <c r="T11" s="212"/>
      <c r="U11" s="211"/>
      <c r="V11" s="211"/>
      <c r="W11" s="211"/>
      <c r="X11" s="213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</row>
    <row r="12" spans="1:36" s="199" customFormat="1" ht="15.75" x14ac:dyDescent="0.25">
      <c r="A12" s="208" t="s">
        <v>120</v>
      </c>
      <c r="B12" s="209"/>
      <c r="C12" s="210"/>
      <c r="D12" s="210"/>
      <c r="E12" s="210"/>
      <c r="F12" s="210"/>
      <c r="G12" s="210"/>
      <c r="H12" s="210"/>
      <c r="I12" s="209"/>
      <c r="J12" s="195" t="s">
        <v>113</v>
      </c>
      <c r="K12" s="214" t="s">
        <v>796</v>
      </c>
      <c r="L12" s="211"/>
      <c r="M12" s="211"/>
      <c r="N12" s="211"/>
      <c r="O12" s="211"/>
      <c r="P12" s="211"/>
      <c r="Q12" s="211"/>
      <c r="R12" s="211"/>
      <c r="S12" s="211"/>
      <c r="T12" s="212"/>
      <c r="U12" s="211"/>
      <c r="V12" s="211"/>
      <c r="W12" s="211"/>
      <c r="X12" s="213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</row>
    <row r="13" spans="1:36" s="199" customFormat="1" ht="18" customHeight="1" x14ac:dyDescent="0.25">
      <c r="A13" s="559" t="s">
        <v>121</v>
      </c>
      <c r="B13" s="560"/>
      <c r="C13" s="560"/>
      <c r="D13" s="560"/>
      <c r="E13" s="560"/>
      <c r="F13" s="560"/>
      <c r="G13" s="560"/>
      <c r="H13" s="560"/>
      <c r="I13" s="560"/>
      <c r="J13" s="560"/>
      <c r="K13" s="560"/>
      <c r="L13" s="560"/>
      <c r="M13" s="560"/>
      <c r="N13" s="560"/>
      <c r="O13" s="560"/>
      <c r="P13" s="560"/>
      <c r="Q13" s="560"/>
      <c r="R13" s="560"/>
      <c r="S13" s="560"/>
      <c r="T13" s="560"/>
      <c r="U13" s="560"/>
      <c r="V13" s="560"/>
      <c r="W13" s="560"/>
      <c r="X13" s="561"/>
    </row>
    <row r="14" spans="1:36" s="199" customFormat="1" ht="15.75" x14ac:dyDescent="0.25">
      <c r="A14" s="578" t="s">
        <v>122</v>
      </c>
      <c r="B14" s="579"/>
      <c r="C14" s="579"/>
      <c r="D14" s="579"/>
      <c r="E14" s="579"/>
      <c r="F14" s="579"/>
      <c r="G14" s="579"/>
      <c r="H14" s="579"/>
      <c r="I14" s="580"/>
      <c r="J14" s="581" t="s">
        <v>123</v>
      </c>
      <c r="K14" s="579"/>
      <c r="L14" s="579"/>
      <c r="M14" s="579"/>
      <c r="N14" s="579"/>
      <c r="O14" s="579"/>
      <c r="P14" s="579"/>
      <c r="Q14" s="579"/>
      <c r="R14" s="579"/>
      <c r="S14" s="579"/>
      <c r="T14" s="579"/>
      <c r="U14" s="579"/>
      <c r="V14" s="581" t="s">
        <v>124</v>
      </c>
      <c r="W14" s="579"/>
      <c r="X14" s="582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</row>
    <row r="15" spans="1:36" s="199" customFormat="1" ht="17.25" customHeight="1" x14ac:dyDescent="0.25">
      <c r="A15" s="573" t="s">
        <v>125</v>
      </c>
      <c r="B15" s="574"/>
      <c r="C15" s="574"/>
      <c r="D15" s="574"/>
      <c r="E15" s="574"/>
      <c r="F15" s="574"/>
      <c r="G15" s="574"/>
      <c r="H15" s="574"/>
      <c r="I15" s="583"/>
      <c r="J15" s="203" t="s">
        <v>119</v>
      </c>
      <c r="K15" s="200"/>
      <c r="L15" s="196"/>
      <c r="M15" s="196"/>
      <c r="N15" s="196"/>
      <c r="O15" s="196"/>
      <c r="P15" s="196"/>
      <c r="Q15" s="196"/>
      <c r="R15" s="196"/>
      <c r="S15" s="196"/>
      <c r="T15" s="207"/>
      <c r="U15" s="196"/>
      <c r="V15" s="215"/>
      <c r="W15" s="196"/>
      <c r="X15" s="197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</row>
    <row r="16" spans="1:36" s="199" customFormat="1" ht="15.75" customHeight="1" x14ac:dyDescent="0.25">
      <c r="A16" s="571" t="s">
        <v>126</v>
      </c>
      <c r="B16" s="572"/>
      <c r="C16" s="572"/>
      <c r="D16" s="572"/>
      <c r="E16" s="572"/>
      <c r="F16" s="572"/>
      <c r="G16" s="572"/>
      <c r="H16" s="572"/>
      <c r="I16" s="584"/>
      <c r="J16" s="216" t="s">
        <v>119</v>
      </c>
      <c r="K16" s="217" t="s">
        <v>127</v>
      </c>
      <c r="L16" s="217"/>
      <c r="M16" s="217"/>
      <c r="N16" s="217"/>
      <c r="O16" s="217"/>
      <c r="P16" s="217"/>
      <c r="Q16" s="217"/>
      <c r="R16" s="217"/>
      <c r="S16" s="217"/>
      <c r="T16" s="218"/>
      <c r="U16" s="217"/>
      <c r="V16" s="591"/>
      <c r="W16" s="592"/>
      <c r="X16" s="593"/>
      <c r="Y16" s="198"/>
      <c r="Z16" s="198"/>
      <c r="AA16" s="198"/>
      <c r="AB16" s="198"/>
      <c r="AC16" s="198"/>
      <c r="AD16" s="198"/>
      <c r="AE16" s="198"/>
      <c r="AF16" s="198"/>
      <c r="AG16" s="198"/>
      <c r="AH16" s="198"/>
      <c r="AI16" s="198"/>
      <c r="AJ16" s="198"/>
    </row>
    <row r="17" spans="1:51" s="199" customFormat="1" ht="15.75" customHeight="1" x14ac:dyDescent="0.25">
      <c r="A17" s="585"/>
      <c r="B17" s="586"/>
      <c r="C17" s="586"/>
      <c r="D17" s="586"/>
      <c r="E17" s="586"/>
      <c r="F17" s="586"/>
      <c r="G17" s="586"/>
      <c r="H17" s="586"/>
      <c r="I17" s="587"/>
      <c r="J17" s="222" t="s">
        <v>119</v>
      </c>
      <c r="K17" s="223" t="s">
        <v>128</v>
      </c>
      <c r="L17" s="223"/>
      <c r="M17" s="223"/>
      <c r="N17" s="223"/>
      <c r="O17" s="223"/>
      <c r="P17" s="223"/>
      <c r="Q17" s="223"/>
      <c r="R17" s="223"/>
      <c r="S17" s="223"/>
      <c r="T17" s="224"/>
      <c r="U17" s="223"/>
      <c r="V17" s="594"/>
      <c r="W17" s="595"/>
      <c r="X17" s="596"/>
      <c r="Y17" s="198"/>
      <c r="Z17" s="198"/>
      <c r="AA17" s="198"/>
      <c r="AB17" s="198"/>
      <c r="AC17" s="198"/>
      <c r="AD17" s="198"/>
      <c r="AE17" s="198"/>
      <c r="AF17" s="198"/>
      <c r="AG17" s="198"/>
      <c r="AH17" s="198"/>
      <c r="AI17" s="198"/>
      <c r="AJ17" s="198"/>
    </row>
    <row r="18" spans="1:51" s="199" customFormat="1" ht="13.5" customHeight="1" x14ac:dyDescent="0.25">
      <c r="A18" s="585"/>
      <c r="B18" s="586"/>
      <c r="C18" s="586"/>
      <c r="D18" s="586"/>
      <c r="E18" s="586"/>
      <c r="F18" s="586"/>
      <c r="G18" s="586"/>
      <c r="H18" s="586"/>
      <c r="I18" s="587"/>
      <c r="J18" s="222" t="s">
        <v>119</v>
      </c>
      <c r="K18" s="223" t="s">
        <v>129</v>
      </c>
      <c r="L18" s="223"/>
      <c r="M18" s="223"/>
      <c r="N18" s="223"/>
      <c r="O18" s="223"/>
      <c r="P18" s="223"/>
      <c r="Q18" s="223"/>
      <c r="R18" s="223"/>
      <c r="S18" s="223"/>
      <c r="T18" s="224"/>
      <c r="U18" s="223"/>
      <c r="V18" s="594"/>
      <c r="W18" s="595"/>
      <c r="X18" s="596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</row>
    <row r="19" spans="1:51" s="199" customFormat="1" ht="15.75" customHeight="1" x14ac:dyDescent="0.25">
      <c r="A19" s="588"/>
      <c r="B19" s="589"/>
      <c r="C19" s="589"/>
      <c r="D19" s="589"/>
      <c r="E19" s="589"/>
      <c r="F19" s="589"/>
      <c r="G19" s="589"/>
      <c r="H19" s="589"/>
      <c r="I19" s="590"/>
      <c r="J19" s="226" t="s">
        <v>119</v>
      </c>
      <c r="K19" s="211" t="s">
        <v>130</v>
      </c>
      <c r="L19" s="211"/>
      <c r="M19" s="211"/>
      <c r="N19" s="211"/>
      <c r="O19" s="211"/>
      <c r="P19" s="211"/>
      <c r="Q19" s="211"/>
      <c r="R19" s="211"/>
      <c r="S19" s="211"/>
      <c r="T19" s="212"/>
      <c r="U19" s="211"/>
      <c r="V19" s="597"/>
      <c r="W19" s="598"/>
      <c r="X19" s="599"/>
      <c r="Y19" s="198"/>
      <c r="Z19" s="198"/>
      <c r="AA19" s="198"/>
      <c r="AB19" s="198"/>
      <c r="AC19" s="198"/>
      <c r="AD19" s="198"/>
      <c r="AE19" s="198"/>
      <c r="AF19" s="198"/>
      <c r="AG19" s="198"/>
      <c r="AH19" s="198"/>
      <c r="AI19" s="198"/>
      <c r="AJ19" s="198"/>
    </row>
    <row r="20" spans="1:51" s="199" customFormat="1" ht="15.75" customHeight="1" x14ac:dyDescent="0.25">
      <c r="A20" s="585" t="s">
        <v>131</v>
      </c>
      <c r="B20" s="586"/>
      <c r="C20" s="586"/>
      <c r="D20" s="586"/>
      <c r="E20" s="586"/>
      <c r="F20" s="586"/>
      <c r="G20" s="586"/>
      <c r="H20" s="586"/>
      <c r="I20" s="587"/>
      <c r="J20" s="220" t="s">
        <v>119</v>
      </c>
      <c r="K20" s="200" t="s">
        <v>677</v>
      </c>
      <c r="L20" s="196"/>
      <c r="M20" s="196"/>
      <c r="N20" s="196"/>
      <c r="O20" s="196"/>
      <c r="P20" s="196"/>
      <c r="Q20" s="196"/>
      <c r="R20" s="196"/>
      <c r="S20" s="196"/>
      <c r="T20" s="207"/>
      <c r="U20" s="196"/>
      <c r="V20" s="575"/>
      <c r="W20" s="576"/>
      <c r="X20" s="577"/>
      <c r="Y20" s="198"/>
      <c r="Z20" s="198"/>
      <c r="AA20" s="198"/>
      <c r="AB20" s="198"/>
      <c r="AC20" s="198"/>
      <c r="AD20" s="198"/>
      <c r="AE20" s="198"/>
      <c r="AF20" s="198"/>
      <c r="AG20" s="198"/>
      <c r="AH20" s="198"/>
      <c r="AI20" s="198"/>
      <c r="AJ20" s="198"/>
    </row>
    <row r="21" spans="1:51" s="199" customFormat="1" ht="15.75" customHeight="1" x14ac:dyDescent="0.25">
      <c r="A21" s="219"/>
      <c r="B21" s="220"/>
      <c r="C21" s="220"/>
      <c r="D21" s="220"/>
      <c r="E21" s="220"/>
      <c r="F21" s="220"/>
      <c r="G21" s="220"/>
      <c r="H21" s="220"/>
      <c r="I21" s="221"/>
      <c r="J21" s="229"/>
      <c r="K21" s="200" t="s">
        <v>678</v>
      </c>
      <c r="L21" s="196"/>
      <c r="M21" s="196"/>
      <c r="N21" s="196"/>
      <c r="O21" s="196"/>
      <c r="P21" s="196"/>
      <c r="Q21" s="196"/>
      <c r="R21" s="196"/>
      <c r="S21" s="196"/>
      <c r="T21" s="207"/>
      <c r="U21" s="196"/>
      <c r="V21" s="575"/>
      <c r="W21" s="576"/>
      <c r="X21" s="577"/>
      <c r="Y21" s="198"/>
      <c r="Z21" s="198"/>
      <c r="AA21" s="198"/>
      <c r="AB21" s="198"/>
      <c r="AC21" s="198"/>
      <c r="AD21" s="198"/>
      <c r="AE21" s="198"/>
      <c r="AF21" s="198"/>
      <c r="AG21" s="198"/>
      <c r="AH21" s="198"/>
      <c r="AI21" s="198"/>
      <c r="AJ21" s="198"/>
    </row>
    <row r="22" spans="1:51" s="199" customFormat="1" ht="15.75" x14ac:dyDescent="0.25">
      <c r="A22" s="219"/>
      <c r="B22" s="220"/>
      <c r="C22" s="220"/>
      <c r="D22" s="220"/>
      <c r="E22" s="220"/>
      <c r="F22" s="220"/>
      <c r="G22" s="220"/>
      <c r="H22" s="220"/>
      <c r="I22" s="221"/>
      <c r="J22" s="229"/>
      <c r="K22" s="600" t="s">
        <v>680</v>
      </c>
      <c r="L22" s="600"/>
      <c r="M22" s="600"/>
      <c r="N22" s="600"/>
      <c r="O22" s="600"/>
      <c r="P22" s="600"/>
      <c r="Q22" s="600"/>
      <c r="R22" s="600"/>
      <c r="S22" s="600"/>
      <c r="T22" s="600"/>
      <c r="U22" s="601"/>
      <c r="V22" s="575"/>
      <c r="W22" s="576"/>
      <c r="X22" s="577"/>
      <c r="Y22" s="198"/>
      <c r="Z22" s="198"/>
      <c r="AA22" s="198"/>
      <c r="AB22" s="198"/>
      <c r="AC22" s="198"/>
      <c r="AD22" s="198"/>
      <c r="AE22" s="198"/>
      <c r="AF22" s="198"/>
      <c r="AG22" s="198"/>
      <c r="AH22" s="198"/>
      <c r="AI22" s="198"/>
      <c r="AJ22" s="198"/>
    </row>
    <row r="23" spans="1:51" s="199" customFormat="1" ht="15.75" customHeight="1" x14ac:dyDescent="0.25">
      <c r="A23" s="219"/>
      <c r="B23" s="220"/>
      <c r="C23" s="220"/>
      <c r="D23" s="220"/>
      <c r="E23" s="220"/>
      <c r="F23" s="220"/>
      <c r="G23" s="220"/>
      <c r="H23" s="220"/>
      <c r="I23" s="221"/>
      <c r="J23" s="229"/>
      <c r="K23" s="204" t="s">
        <v>790</v>
      </c>
      <c r="L23" s="211"/>
      <c r="M23" s="211"/>
      <c r="N23" s="211"/>
      <c r="O23" s="211"/>
      <c r="P23" s="211"/>
      <c r="Q23" s="211"/>
      <c r="R23" s="211"/>
      <c r="S23" s="211"/>
      <c r="T23" s="212"/>
      <c r="U23" s="211"/>
      <c r="V23" s="575"/>
      <c r="W23" s="576"/>
      <c r="X23" s="577"/>
      <c r="Y23" s="198"/>
      <c r="Z23" s="198"/>
      <c r="AA23" s="198"/>
      <c r="AB23" s="198"/>
      <c r="AC23" s="198"/>
      <c r="AD23" s="198"/>
      <c r="AE23" s="198"/>
      <c r="AF23" s="198"/>
      <c r="AG23" s="198"/>
      <c r="AH23" s="198"/>
      <c r="AI23" s="198"/>
      <c r="AJ23" s="198"/>
    </row>
    <row r="24" spans="1:51" s="199" customFormat="1" ht="16.5" customHeight="1" x14ac:dyDescent="0.25">
      <c r="A24" s="573" t="s">
        <v>132</v>
      </c>
      <c r="B24" s="574"/>
      <c r="C24" s="574"/>
      <c r="D24" s="574"/>
      <c r="E24" s="574"/>
      <c r="F24" s="574"/>
      <c r="G24" s="574"/>
      <c r="H24" s="574"/>
      <c r="I24" s="583"/>
      <c r="J24" s="203" t="s">
        <v>119</v>
      </c>
      <c r="K24" s="200"/>
      <c r="L24" s="196"/>
      <c r="M24" s="196"/>
      <c r="N24" s="196"/>
      <c r="O24" s="196"/>
      <c r="P24" s="196"/>
      <c r="Q24" s="196"/>
      <c r="R24" s="196"/>
      <c r="S24" s="196"/>
      <c r="T24" s="207"/>
      <c r="U24" s="196"/>
      <c r="V24" s="230"/>
      <c r="W24" s="196"/>
      <c r="X24" s="197"/>
      <c r="Y24" s="198"/>
      <c r="Z24" s="198"/>
      <c r="AA24" s="198"/>
      <c r="AB24" s="198"/>
      <c r="AC24" s="198"/>
      <c r="AD24" s="198"/>
      <c r="AE24" s="198"/>
      <c r="AF24" s="198"/>
      <c r="AG24" s="198"/>
      <c r="AH24" s="198"/>
      <c r="AI24" s="198"/>
      <c r="AJ24" s="198"/>
    </row>
    <row r="25" spans="1:51" s="199" customFormat="1" ht="16.5" customHeight="1" x14ac:dyDescent="0.25">
      <c r="A25" s="208"/>
      <c r="B25" s="209"/>
      <c r="C25" s="209"/>
      <c r="D25" s="209"/>
      <c r="E25" s="209"/>
      <c r="F25" s="209"/>
      <c r="G25" s="209"/>
      <c r="H25" s="209"/>
      <c r="I25" s="225"/>
      <c r="J25" s="209"/>
      <c r="K25" s="200"/>
      <c r="L25" s="211"/>
      <c r="M25" s="211"/>
      <c r="N25" s="211"/>
      <c r="O25" s="211"/>
      <c r="P25" s="211"/>
      <c r="Q25" s="211"/>
      <c r="R25" s="211"/>
      <c r="S25" s="211"/>
      <c r="T25" s="212"/>
      <c r="U25" s="211"/>
      <c r="V25" s="230"/>
      <c r="W25" s="211"/>
      <c r="X25" s="213"/>
      <c r="Y25" s="198"/>
      <c r="Z25" s="198"/>
      <c r="AA25" s="198"/>
      <c r="AB25" s="198"/>
      <c r="AC25" s="198"/>
      <c r="AD25" s="198"/>
      <c r="AE25" s="198"/>
      <c r="AF25" s="198"/>
      <c r="AG25" s="198"/>
      <c r="AH25" s="198"/>
      <c r="AI25" s="198"/>
      <c r="AJ25" s="198"/>
    </row>
    <row r="26" spans="1:51" s="199" customFormat="1" ht="16.5" customHeight="1" x14ac:dyDescent="0.25">
      <c r="A26" s="208"/>
      <c r="B26" s="209"/>
      <c r="C26" s="209"/>
      <c r="D26" s="209"/>
      <c r="E26" s="209"/>
      <c r="F26" s="209"/>
      <c r="G26" s="209"/>
      <c r="H26" s="209"/>
      <c r="I26" s="225"/>
      <c r="J26" s="209"/>
      <c r="K26" s="200"/>
      <c r="L26" s="211"/>
      <c r="M26" s="211"/>
      <c r="N26" s="211"/>
      <c r="O26" s="211"/>
      <c r="P26" s="211"/>
      <c r="Q26" s="211"/>
      <c r="R26" s="211"/>
      <c r="S26" s="211"/>
      <c r="T26" s="212"/>
      <c r="U26" s="211"/>
      <c r="V26" s="230"/>
      <c r="W26" s="211"/>
      <c r="X26" s="213"/>
      <c r="Y26" s="198"/>
      <c r="Z26" s="198"/>
      <c r="AA26" s="198"/>
      <c r="AB26" s="198"/>
      <c r="AC26" s="198"/>
      <c r="AD26" s="198"/>
      <c r="AE26" s="198"/>
      <c r="AF26" s="198"/>
      <c r="AG26" s="198"/>
      <c r="AH26" s="198"/>
      <c r="AI26" s="198"/>
      <c r="AJ26" s="198"/>
    </row>
    <row r="27" spans="1:51" s="199" customFormat="1" ht="16.5" customHeight="1" x14ac:dyDescent="0.25">
      <c r="A27" s="208"/>
      <c r="B27" s="209"/>
      <c r="C27" s="209"/>
      <c r="D27" s="209"/>
      <c r="E27" s="209"/>
      <c r="F27" s="209"/>
      <c r="G27" s="209"/>
      <c r="H27" s="209"/>
      <c r="I27" s="225"/>
      <c r="J27" s="209"/>
      <c r="K27" s="200"/>
      <c r="L27" s="211"/>
      <c r="M27" s="211"/>
      <c r="N27" s="211"/>
      <c r="O27" s="211"/>
      <c r="P27" s="211"/>
      <c r="Q27" s="211"/>
      <c r="R27" s="211"/>
      <c r="S27" s="211"/>
      <c r="T27" s="212"/>
      <c r="U27" s="211"/>
      <c r="V27" s="231"/>
      <c r="W27" s="211"/>
      <c r="X27" s="213"/>
      <c r="Y27" s="198"/>
      <c r="Z27" s="198"/>
      <c r="AA27" s="198"/>
      <c r="AB27" s="198"/>
      <c r="AC27" s="198"/>
      <c r="AD27" s="198"/>
      <c r="AE27" s="198"/>
      <c r="AF27" s="198"/>
      <c r="AG27" s="198"/>
      <c r="AH27" s="198"/>
      <c r="AI27" s="198"/>
      <c r="AJ27" s="198"/>
    </row>
    <row r="28" spans="1:51" s="199" customFormat="1" ht="18.75" customHeight="1" x14ac:dyDescent="0.25">
      <c r="A28" s="602" t="s">
        <v>133</v>
      </c>
      <c r="B28" s="603"/>
      <c r="C28" s="603"/>
      <c r="D28" s="603"/>
      <c r="E28" s="603"/>
      <c r="F28" s="603"/>
      <c r="G28" s="603"/>
      <c r="H28" s="603"/>
      <c r="I28" s="604"/>
      <c r="J28" s="209" t="s">
        <v>119</v>
      </c>
      <c r="K28" s="200"/>
      <c r="L28" s="211"/>
      <c r="M28" s="211"/>
      <c r="N28" s="211"/>
      <c r="O28" s="211"/>
      <c r="P28" s="211"/>
      <c r="Q28" s="211"/>
      <c r="R28" s="211"/>
      <c r="S28" s="211"/>
      <c r="T28" s="212"/>
      <c r="U28" s="211"/>
      <c r="V28" s="200"/>
      <c r="W28" s="232"/>
      <c r="X28" s="233"/>
      <c r="Y28" s="198"/>
      <c r="Z28" s="198"/>
      <c r="AA28" s="198"/>
      <c r="AB28" s="198"/>
      <c r="AC28" s="198"/>
      <c r="AD28" s="198"/>
      <c r="AE28" s="198"/>
      <c r="AF28" s="198"/>
      <c r="AG28" s="198"/>
      <c r="AH28" s="198"/>
      <c r="AI28" s="198"/>
      <c r="AJ28" s="198"/>
    </row>
    <row r="29" spans="1:51" s="199" customFormat="1" ht="15.75" x14ac:dyDescent="0.25">
      <c r="A29" s="605" t="s">
        <v>134</v>
      </c>
      <c r="B29" s="606"/>
      <c r="C29" s="606"/>
      <c r="D29" s="606"/>
      <c r="E29" s="606"/>
      <c r="F29" s="606"/>
      <c r="G29" s="606"/>
      <c r="H29" s="606"/>
      <c r="I29" s="606"/>
      <c r="J29" s="606"/>
      <c r="K29" s="606"/>
      <c r="L29" s="606"/>
      <c r="M29" s="606"/>
      <c r="N29" s="606"/>
      <c r="O29" s="606"/>
      <c r="P29" s="606"/>
      <c r="Q29" s="606"/>
      <c r="R29" s="606"/>
      <c r="S29" s="606"/>
      <c r="T29" s="606"/>
      <c r="U29" s="606"/>
      <c r="V29" s="606"/>
      <c r="W29" s="606"/>
      <c r="X29" s="607"/>
    </row>
    <row r="30" spans="1:51" s="199" customFormat="1" ht="16.5" thickBot="1" x14ac:dyDescent="0.3">
      <c r="A30" s="608" t="s">
        <v>135</v>
      </c>
      <c r="B30" s="609"/>
      <c r="C30" s="609"/>
      <c r="D30" s="609"/>
      <c r="E30" s="609"/>
      <c r="F30" s="609"/>
      <c r="G30" s="609"/>
      <c r="H30" s="609"/>
      <c r="I30" s="609"/>
      <c r="J30" s="609"/>
      <c r="K30" s="609"/>
      <c r="L30" s="609"/>
      <c r="M30" s="609"/>
      <c r="N30" s="609"/>
      <c r="O30" s="609"/>
      <c r="P30" s="609"/>
      <c r="Q30" s="609"/>
      <c r="R30" s="609"/>
      <c r="S30" s="609"/>
      <c r="T30" s="609"/>
      <c r="U30" s="609"/>
      <c r="V30" s="609"/>
      <c r="W30" s="609"/>
      <c r="X30" s="610"/>
    </row>
    <row r="31" spans="1:51" s="199" customFormat="1" ht="10.5" customHeight="1" x14ac:dyDescent="0.25">
      <c r="A31" s="611" t="s">
        <v>136</v>
      </c>
      <c r="B31" s="612"/>
      <c r="C31" s="612"/>
      <c r="D31" s="612"/>
      <c r="E31" s="612"/>
      <c r="F31" s="612"/>
      <c r="G31" s="612"/>
      <c r="H31" s="613"/>
      <c r="I31" s="620" t="s">
        <v>137</v>
      </c>
      <c r="J31" s="612"/>
      <c r="K31" s="613"/>
      <c r="L31" s="620" t="s">
        <v>138</v>
      </c>
      <c r="M31" s="612"/>
      <c r="N31" s="612"/>
      <c r="O31" s="612"/>
      <c r="P31" s="612"/>
      <c r="Q31" s="612"/>
      <c r="R31" s="612"/>
      <c r="S31" s="612"/>
      <c r="T31" s="612"/>
      <c r="U31" s="612"/>
      <c r="V31" s="613"/>
      <c r="W31" s="623" t="s">
        <v>139</v>
      </c>
      <c r="X31" s="625" t="s">
        <v>140</v>
      </c>
      <c r="Y31" s="636" t="s">
        <v>567</v>
      </c>
      <c r="Z31" s="636"/>
      <c r="AA31" s="636"/>
      <c r="AB31" s="636"/>
      <c r="AC31" s="636"/>
      <c r="AD31" s="636"/>
      <c r="AE31" s="636"/>
      <c r="AF31" s="636"/>
      <c r="AG31" s="636"/>
      <c r="AH31" s="636"/>
      <c r="AI31" s="636"/>
      <c r="AJ31" s="637"/>
      <c r="AK31" s="642" t="s">
        <v>139</v>
      </c>
      <c r="AL31" s="645" t="s">
        <v>568</v>
      </c>
      <c r="AM31" s="636"/>
      <c r="AN31" s="636"/>
      <c r="AO31" s="636"/>
      <c r="AP31" s="636"/>
      <c r="AQ31" s="636"/>
      <c r="AR31" s="636"/>
      <c r="AS31" s="636"/>
      <c r="AT31" s="636"/>
      <c r="AU31" s="636"/>
      <c r="AV31" s="636"/>
      <c r="AW31" s="637"/>
      <c r="AX31" s="642" t="s">
        <v>139</v>
      </c>
      <c r="AY31" s="648" t="s">
        <v>141</v>
      </c>
    </row>
    <row r="32" spans="1:51" s="199" customFormat="1" ht="6.75" customHeight="1" x14ac:dyDescent="0.25">
      <c r="A32" s="614"/>
      <c r="B32" s="615"/>
      <c r="C32" s="615"/>
      <c r="D32" s="615"/>
      <c r="E32" s="615"/>
      <c r="F32" s="615"/>
      <c r="G32" s="615"/>
      <c r="H32" s="616"/>
      <c r="I32" s="621"/>
      <c r="J32" s="615"/>
      <c r="K32" s="616"/>
      <c r="L32" s="621"/>
      <c r="M32" s="615"/>
      <c r="N32" s="615"/>
      <c r="O32" s="615"/>
      <c r="P32" s="615"/>
      <c r="Q32" s="615"/>
      <c r="R32" s="615"/>
      <c r="S32" s="615"/>
      <c r="T32" s="615"/>
      <c r="U32" s="615"/>
      <c r="V32" s="616"/>
      <c r="W32" s="624"/>
      <c r="X32" s="626"/>
      <c r="Y32" s="638"/>
      <c r="Z32" s="638"/>
      <c r="AA32" s="638"/>
      <c r="AB32" s="638"/>
      <c r="AC32" s="638"/>
      <c r="AD32" s="638"/>
      <c r="AE32" s="638"/>
      <c r="AF32" s="638"/>
      <c r="AG32" s="638"/>
      <c r="AH32" s="638"/>
      <c r="AI32" s="638"/>
      <c r="AJ32" s="639"/>
      <c r="AK32" s="643"/>
      <c r="AL32" s="646"/>
      <c r="AM32" s="638"/>
      <c r="AN32" s="638"/>
      <c r="AO32" s="638"/>
      <c r="AP32" s="638"/>
      <c r="AQ32" s="638"/>
      <c r="AR32" s="638"/>
      <c r="AS32" s="638"/>
      <c r="AT32" s="638"/>
      <c r="AU32" s="638"/>
      <c r="AV32" s="638"/>
      <c r="AW32" s="639"/>
      <c r="AX32" s="643"/>
      <c r="AY32" s="649"/>
    </row>
    <row r="33" spans="1:51" s="199" customFormat="1" ht="10.5" customHeight="1" thickBot="1" x14ac:dyDescent="0.3">
      <c r="A33" s="614"/>
      <c r="B33" s="615"/>
      <c r="C33" s="615"/>
      <c r="D33" s="615"/>
      <c r="E33" s="615"/>
      <c r="F33" s="615"/>
      <c r="G33" s="615"/>
      <c r="H33" s="616"/>
      <c r="I33" s="621"/>
      <c r="J33" s="615"/>
      <c r="K33" s="616"/>
      <c r="L33" s="628" t="s">
        <v>79</v>
      </c>
      <c r="M33" s="629"/>
      <c r="N33" s="629"/>
      <c r="O33" s="629"/>
      <c r="P33" s="629"/>
      <c r="Q33" s="629"/>
      <c r="R33" s="629"/>
      <c r="S33" s="630"/>
      <c r="T33" s="631" t="s">
        <v>80</v>
      </c>
      <c r="U33" s="631" t="s">
        <v>81</v>
      </c>
      <c r="V33" s="631" t="s">
        <v>82</v>
      </c>
      <c r="W33" s="624"/>
      <c r="X33" s="626"/>
      <c r="Y33" s="640"/>
      <c r="Z33" s="640"/>
      <c r="AA33" s="640"/>
      <c r="AB33" s="640"/>
      <c r="AC33" s="640"/>
      <c r="AD33" s="640"/>
      <c r="AE33" s="640"/>
      <c r="AF33" s="640"/>
      <c r="AG33" s="640"/>
      <c r="AH33" s="640"/>
      <c r="AI33" s="640"/>
      <c r="AJ33" s="641"/>
      <c r="AK33" s="643"/>
      <c r="AL33" s="647"/>
      <c r="AM33" s="640"/>
      <c r="AN33" s="640"/>
      <c r="AO33" s="640"/>
      <c r="AP33" s="640"/>
      <c r="AQ33" s="640"/>
      <c r="AR33" s="640"/>
      <c r="AS33" s="640"/>
      <c r="AT33" s="640"/>
      <c r="AU33" s="640"/>
      <c r="AV33" s="640"/>
      <c r="AW33" s="641"/>
      <c r="AX33" s="643"/>
      <c r="AY33" s="649"/>
    </row>
    <row r="34" spans="1:51" s="199" customFormat="1" ht="8.25" customHeight="1" thickBot="1" x14ac:dyDescent="0.3">
      <c r="A34" s="614"/>
      <c r="B34" s="615"/>
      <c r="C34" s="615"/>
      <c r="D34" s="615"/>
      <c r="E34" s="615"/>
      <c r="F34" s="615"/>
      <c r="G34" s="615"/>
      <c r="H34" s="616"/>
      <c r="I34" s="621"/>
      <c r="J34" s="615"/>
      <c r="K34" s="616"/>
      <c r="L34" s="621"/>
      <c r="M34" s="615"/>
      <c r="N34" s="615"/>
      <c r="O34" s="615"/>
      <c r="P34" s="615"/>
      <c r="Q34" s="615"/>
      <c r="R34" s="615"/>
      <c r="S34" s="616"/>
      <c r="T34" s="632"/>
      <c r="U34" s="632"/>
      <c r="V34" s="632"/>
      <c r="W34" s="634" t="s">
        <v>142</v>
      </c>
      <c r="X34" s="626"/>
      <c r="Y34" s="653" t="s">
        <v>50</v>
      </c>
      <c r="Z34" s="655" t="s">
        <v>53</v>
      </c>
      <c r="AA34" s="655" t="s">
        <v>55</v>
      </c>
      <c r="AB34" s="655" t="s">
        <v>57</v>
      </c>
      <c r="AC34" s="657" t="s">
        <v>59</v>
      </c>
      <c r="AD34" s="657" t="s">
        <v>61</v>
      </c>
      <c r="AE34" s="657" t="s">
        <v>101</v>
      </c>
      <c r="AF34" s="657" t="s">
        <v>107</v>
      </c>
      <c r="AG34" s="651" t="s">
        <v>143</v>
      </c>
      <c r="AH34" s="651" t="s">
        <v>144</v>
      </c>
      <c r="AI34" s="651" t="s">
        <v>145</v>
      </c>
      <c r="AJ34" s="651" t="s">
        <v>146</v>
      </c>
      <c r="AK34" s="643"/>
      <c r="AL34" s="655" t="s">
        <v>50</v>
      </c>
      <c r="AM34" s="655" t="s">
        <v>53</v>
      </c>
      <c r="AN34" s="655" t="s">
        <v>55</v>
      </c>
      <c r="AO34" s="655" t="s">
        <v>57</v>
      </c>
      <c r="AP34" s="657" t="s">
        <v>59</v>
      </c>
      <c r="AQ34" s="657" t="s">
        <v>61</v>
      </c>
      <c r="AR34" s="657" t="s">
        <v>101</v>
      </c>
      <c r="AS34" s="657" t="s">
        <v>107</v>
      </c>
      <c r="AT34" s="651" t="s">
        <v>143</v>
      </c>
      <c r="AU34" s="651" t="s">
        <v>144</v>
      </c>
      <c r="AV34" s="651" t="s">
        <v>145</v>
      </c>
      <c r="AW34" s="651" t="s">
        <v>146</v>
      </c>
      <c r="AX34" s="643"/>
      <c r="AY34" s="649"/>
    </row>
    <row r="35" spans="1:51" s="199" customFormat="1" ht="12.75" customHeight="1" thickBot="1" x14ac:dyDescent="0.3">
      <c r="A35" s="617"/>
      <c r="B35" s="618"/>
      <c r="C35" s="618"/>
      <c r="D35" s="618"/>
      <c r="E35" s="618"/>
      <c r="F35" s="618"/>
      <c r="G35" s="618"/>
      <c r="H35" s="619"/>
      <c r="I35" s="622"/>
      <c r="J35" s="618"/>
      <c r="K35" s="619"/>
      <c r="L35" s="622"/>
      <c r="M35" s="618"/>
      <c r="N35" s="618"/>
      <c r="O35" s="618"/>
      <c r="P35" s="618"/>
      <c r="Q35" s="618"/>
      <c r="R35" s="618"/>
      <c r="S35" s="619"/>
      <c r="T35" s="633"/>
      <c r="U35" s="633"/>
      <c r="V35" s="633"/>
      <c r="W35" s="635"/>
      <c r="X35" s="627"/>
      <c r="Y35" s="654"/>
      <c r="Z35" s="656"/>
      <c r="AA35" s="656"/>
      <c r="AB35" s="656"/>
      <c r="AC35" s="658"/>
      <c r="AD35" s="658"/>
      <c r="AE35" s="658"/>
      <c r="AF35" s="658"/>
      <c r="AG35" s="652"/>
      <c r="AH35" s="652"/>
      <c r="AI35" s="652"/>
      <c r="AJ35" s="652"/>
      <c r="AK35" s="644"/>
      <c r="AL35" s="656"/>
      <c r="AM35" s="656"/>
      <c r="AN35" s="656"/>
      <c r="AO35" s="656"/>
      <c r="AP35" s="658"/>
      <c r="AQ35" s="658"/>
      <c r="AR35" s="658"/>
      <c r="AS35" s="658"/>
      <c r="AT35" s="652"/>
      <c r="AU35" s="652"/>
      <c r="AV35" s="652"/>
      <c r="AW35" s="652"/>
      <c r="AX35" s="644"/>
      <c r="AY35" s="650"/>
    </row>
    <row r="36" spans="1:51" s="199" customFormat="1" ht="15.75" x14ac:dyDescent="0.25">
      <c r="A36" s="661">
        <v>1</v>
      </c>
      <c r="B36" s="662"/>
      <c r="C36" s="662"/>
      <c r="D36" s="662"/>
      <c r="E36" s="662"/>
      <c r="F36" s="662"/>
      <c r="G36" s="662"/>
      <c r="H36" s="663"/>
      <c r="I36" s="664">
        <v>2</v>
      </c>
      <c r="J36" s="665"/>
      <c r="K36" s="666"/>
      <c r="L36" s="664">
        <v>3</v>
      </c>
      <c r="M36" s="665"/>
      <c r="N36" s="665"/>
      <c r="O36" s="665"/>
      <c r="P36" s="665"/>
      <c r="Q36" s="665"/>
      <c r="R36" s="665"/>
      <c r="S36" s="665"/>
      <c r="T36" s="234">
        <v>4</v>
      </c>
      <c r="U36" s="235">
        <v>5</v>
      </c>
      <c r="V36" s="236">
        <v>6</v>
      </c>
      <c r="W36" s="237" t="s">
        <v>147</v>
      </c>
      <c r="X36" s="237">
        <v>8</v>
      </c>
      <c r="Y36" s="238"/>
      <c r="Z36" s="239"/>
      <c r="AA36" s="239"/>
      <c r="AB36" s="239"/>
      <c r="AC36" s="240"/>
      <c r="AD36" s="240"/>
      <c r="AE36" s="240"/>
      <c r="AF36" s="240"/>
      <c r="AG36" s="241"/>
      <c r="AH36" s="241"/>
      <c r="AI36" s="241"/>
      <c r="AJ36" s="242"/>
      <c r="AK36" s="243"/>
      <c r="AL36" s="244"/>
      <c r="AM36" s="239"/>
      <c r="AN36" s="239"/>
      <c r="AO36" s="239"/>
      <c r="AP36" s="240"/>
      <c r="AQ36" s="240"/>
      <c r="AR36" s="240"/>
      <c r="AS36" s="240"/>
      <c r="AT36" s="241"/>
      <c r="AU36" s="241"/>
      <c r="AV36" s="241"/>
      <c r="AW36" s="242"/>
      <c r="AX36" s="243"/>
      <c r="AY36" s="245"/>
    </row>
    <row r="37" spans="1:51" s="268" customFormat="1" ht="15" customHeight="1" x14ac:dyDescent="0.25">
      <c r="A37" s="246"/>
      <c r="B37" s="247" t="s">
        <v>59</v>
      </c>
      <c r="C37" s="247"/>
      <c r="D37" s="247"/>
      <c r="E37" s="247"/>
      <c r="F37" s="247"/>
      <c r="G37" s="247"/>
      <c r="H37" s="248"/>
      <c r="I37" s="249"/>
      <c r="J37" s="250" t="s">
        <v>148</v>
      </c>
      <c r="K37" s="251"/>
      <c r="L37" s="252"/>
      <c r="M37" s="253"/>
      <c r="N37" s="253"/>
      <c r="O37" s="253"/>
      <c r="P37" s="253"/>
      <c r="Q37" s="253"/>
      <c r="R37" s="253"/>
      <c r="S37" s="253"/>
      <c r="T37" s="254"/>
      <c r="U37" s="254"/>
      <c r="V37" s="255"/>
      <c r="W37" s="256">
        <f t="shared" ref="W37" si="0">W38</f>
        <v>10420000</v>
      </c>
      <c r="X37" s="257"/>
      <c r="Y37" s="258"/>
      <c r="Z37" s="259"/>
      <c r="AA37" s="260"/>
      <c r="AB37" s="261"/>
      <c r="AC37" s="262"/>
      <c r="AD37" s="262"/>
      <c r="AE37" s="262"/>
      <c r="AF37" s="262"/>
      <c r="AG37" s="263"/>
      <c r="AH37" s="263"/>
      <c r="AI37" s="263"/>
      <c r="AJ37" s="264"/>
      <c r="AK37" s="265"/>
      <c r="AL37" s="266"/>
      <c r="AM37" s="259"/>
      <c r="AN37" s="260"/>
      <c r="AO37" s="261"/>
      <c r="AP37" s="262"/>
      <c r="AQ37" s="262"/>
      <c r="AR37" s="262"/>
      <c r="AS37" s="262"/>
      <c r="AT37" s="263"/>
      <c r="AU37" s="263"/>
      <c r="AV37" s="263"/>
      <c r="AW37" s="264"/>
      <c r="AX37" s="265"/>
      <c r="AY37" s="267"/>
    </row>
    <row r="38" spans="1:51" s="268" customFormat="1" ht="15" customHeight="1" x14ac:dyDescent="0.25">
      <c r="A38" s="269"/>
      <c r="B38" s="270" t="s">
        <v>59</v>
      </c>
      <c r="C38" s="334" t="s">
        <v>50</v>
      </c>
      <c r="D38" s="271"/>
      <c r="E38" s="271"/>
      <c r="F38" s="272"/>
      <c r="G38" s="270"/>
      <c r="H38" s="273"/>
      <c r="I38" s="274"/>
      <c r="J38" s="275" t="s">
        <v>149</v>
      </c>
      <c r="K38" s="276"/>
      <c r="L38" s="277"/>
      <c r="M38" s="278"/>
      <c r="N38" s="278"/>
      <c r="O38" s="278"/>
      <c r="P38" s="278"/>
      <c r="Q38" s="278"/>
      <c r="R38" s="278"/>
      <c r="S38" s="278"/>
      <c r="T38" s="279"/>
      <c r="U38" s="279"/>
      <c r="V38" s="280"/>
      <c r="W38" s="281">
        <f>W39</f>
        <v>10420000</v>
      </c>
      <c r="X38" s="257"/>
      <c r="Y38" s="258"/>
      <c r="Z38" s="259"/>
      <c r="AA38" s="261"/>
      <c r="AB38" s="261"/>
      <c r="AC38" s="262"/>
      <c r="AD38" s="262"/>
      <c r="AE38" s="262"/>
      <c r="AF38" s="262"/>
      <c r="AG38" s="263"/>
      <c r="AH38" s="263"/>
      <c r="AI38" s="263"/>
      <c r="AJ38" s="264"/>
      <c r="AK38" s="265"/>
      <c r="AL38" s="266"/>
      <c r="AM38" s="259"/>
      <c r="AN38" s="261"/>
      <c r="AO38" s="261"/>
      <c r="AP38" s="262"/>
      <c r="AQ38" s="262"/>
      <c r="AR38" s="262"/>
      <c r="AS38" s="262"/>
      <c r="AT38" s="263"/>
      <c r="AU38" s="263"/>
      <c r="AV38" s="263"/>
      <c r="AW38" s="264"/>
      <c r="AX38" s="265"/>
      <c r="AY38" s="267"/>
    </row>
    <row r="39" spans="1:51" s="268" customFormat="1" ht="15" customHeight="1" x14ac:dyDescent="0.25">
      <c r="A39" s="269"/>
      <c r="B39" s="270" t="s">
        <v>59</v>
      </c>
      <c r="C39" s="334" t="s">
        <v>50</v>
      </c>
      <c r="D39" s="288" t="s">
        <v>67</v>
      </c>
      <c r="E39" s="271"/>
      <c r="F39" s="271"/>
      <c r="G39" s="270"/>
      <c r="H39" s="273"/>
      <c r="I39" s="282"/>
      <c r="J39" s="283" t="s">
        <v>150</v>
      </c>
      <c r="K39" s="284"/>
      <c r="L39" s="285"/>
      <c r="M39" s="286"/>
      <c r="N39" s="286"/>
      <c r="O39" s="286"/>
      <c r="P39" s="286"/>
      <c r="Q39" s="286"/>
      <c r="R39" s="286"/>
      <c r="S39" s="286"/>
      <c r="T39" s="279"/>
      <c r="U39" s="279"/>
      <c r="V39" s="280"/>
      <c r="W39" s="281">
        <f>W40</f>
        <v>10420000</v>
      </c>
      <c r="X39" s="287"/>
      <c r="Y39" s="258"/>
      <c r="Z39" s="259"/>
      <c r="AA39" s="261"/>
      <c r="AB39" s="261"/>
      <c r="AC39" s="262"/>
      <c r="AD39" s="262"/>
      <c r="AE39" s="262"/>
      <c r="AF39" s="262"/>
      <c r="AG39" s="263"/>
      <c r="AH39" s="263"/>
      <c r="AI39" s="263"/>
      <c r="AJ39" s="264"/>
      <c r="AK39" s="265"/>
      <c r="AL39" s="266"/>
      <c r="AM39" s="259"/>
      <c r="AN39" s="261"/>
      <c r="AO39" s="261"/>
      <c r="AP39" s="262"/>
      <c r="AQ39" s="262"/>
      <c r="AR39" s="262"/>
      <c r="AS39" s="262"/>
      <c r="AT39" s="263"/>
      <c r="AU39" s="263"/>
      <c r="AV39" s="263"/>
      <c r="AW39" s="264"/>
      <c r="AX39" s="265"/>
      <c r="AY39" s="267"/>
    </row>
    <row r="40" spans="1:51" s="305" customFormat="1" ht="15" customHeight="1" x14ac:dyDescent="0.25">
      <c r="A40" s="269"/>
      <c r="B40" s="270" t="s">
        <v>59</v>
      </c>
      <c r="C40" s="270" t="s">
        <v>50</v>
      </c>
      <c r="D40" s="288" t="s">
        <v>67</v>
      </c>
      <c r="E40" s="288" t="s">
        <v>67</v>
      </c>
      <c r="F40" s="271"/>
      <c r="G40" s="270"/>
      <c r="H40" s="273"/>
      <c r="I40" s="289"/>
      <c r="J40" s="283" t="s">
        <v>153</v>
      </c>
      <c r="K40" s="290"/>
      <c r="L40" s="291"/>
      <c r="M40" s="292"/>
      <c r="N40" s="292"/>
      <c r="O40" s="292"/>
      <c r="P40" s="292"/>
      <c r="Q40" s="292"/>
      <c r="R40" s="292"/>
      <c r="S40" s="292"/>
      <c r="T40" s="293"/>
      <c r="U40" s="293"/>
      <c r="V40" s="294"/>
      <c r="W40" s="295">
        <f>W41+W52</f>
        <v>10420000</v>
      </c>
      <c r="X40" s="296"/>
      <c r="Y40" s="297"/>
      <c r="Z40" s="259"/>
      <c r="AA40" s="298"/>
      <c r="AB40" s="298"/>
      <c r="AC40" s="299"/>
      <c r="AD40" s="299"/>
      <c r="AE40" s="299"/>
      <c r="AF40" s="299"/>
      <c r="AG40" s="300"/>
      <c r="AH40" s="300"/>
      <c r="AI40" s="300"/>
      <c r="AJ40" s="301"/>
      <c r="AK40" s="335"/>
      <c r="AL40" s="303"/>
      <c r="AM40" s="259"/>
      <c r="AN40" s="298"/>
      <c r="AO40" s="298"/>
      <c r="AP40" s="299"/>
      <c r="AQ40" s="299"/>
      <c r="AR40" s="299"/>
      <c r="AS40" s="299"/>
      <c r="AT40" s="300"/>
      <c r="AU40" s="300"/>
      <c r="AV40" s="300"/>
      <c r="AW40" s="301"/>
      <c r="AX40" s="335"/>
      <c r="AY40" s="336"/>
    </row>
    <row r="41" spans="1:51" s="305" customFormat="1" ht="15" customHeight="1" x14ac:dyDescent="0.25">
      <c r="A41" s="269"/>
      <c r="B41" s="270" t="s">
        <v>59</v>
      </c>
      <c r="C41" s="270" t="s">
        <v>50</v>
      </c>
      <c r="D41" s="288" t="s">
        <v>67</v>
      </c>
      <c r="E41" s="288" t="s">
        <v>67</v>
      </c>
      <c r="F41" s="271" t="s">
        <v>65</v>
      </c>
      <c r="G41" s="270"/>
      <c r="H41" s="273"/>
      <c r="I41" s="289"/>
      <c r="J41" s="283" t="s">
        <v>154</v>
      </c>
      <c r="K41" s="290"/>
      <c r="L41" s="291"/>
      <c r="M41" s="292"/>
      <c r="N41" s="292"/>
      <c r="O41" s="292"/>
      <c r="P41" s="292"/>
      <c r="Q41" s="292"/>
      <c r="R41" s="292"/>
      <c r="S41" s="292"/>
      <c r="T41" s="293"/>
      <c r="U41" s="293"/>
      <c r="V41" s="294"/>
      <c r="W41" s="295">
        <f>W42+W46</f>
        <v>7920000</v>
      </c>
      <c r="X41" s="296"/>
      <c r="Y41" s="297"/>
      <c r="Z41" s="259"/>
      <c r="AA41" s="298"/>
      <c r="AB41" s="298"/>
      <c r="AC41" s="299"/>
      <c r="AD41" s="299"/>
      <c r="AE41" s="299"/>
      <c r="AF41" s="299"/>
      <c r="AG41" s="300"/>
      <c r="AH41" s="300"/>
      <c r="AI41" s="300"/>
      <c r="AJ41" s="301"/>
      <c r="AK41" s="335"/>
      <c r="AL41" s="303"/>
      <c r="AM41" s="259"/>
      <c r="AN41" s="298"/>
      <c r="AO41" s="298"/>
      <c r="AP41" s="299"/>
      <c r="AQ41" s="299"/>
      <c r="AR41" s="299"/>
      <c r="AS41" s="299"/>
      <c r="AT41" s="300"/>
      <c r="AU41" s="300"/>
      <c r="AV41" s="300"/>
      <c r="AW41" s="301"/>
      <c r="AX41" s="335"/>
      <c r="AY41" s="336"/>
    </row>
    <row r="42" spans="1:51" s="330" customFormat="1" ht="15" customHeight="1" x14ac:dyDescent="0.25">
      <c r="A42" s="306"/>
      <c r="B42" s="307" t="s">
        <v>59</v>
      </c>
      <c r="C42" s="307" t="s">
        <v>50</v>
      </c>
      <c r="D42" s="309" t="s">
        <v>67</v>
      </c>
      <c r="E42" s="309" t="s">
        <v>67</v>
      </c>
      <c r="F42" s="308" t="s">
        <v>65</v>
      </c>
      <c r="G42" s="310" t="s">
        <v>681</v>
      </c>
      <c r="H42" s="311"/>
      <c r="I42" s="312"/>
      <c r="J42" s="331" t="s">
        <v>682</v>
      </c>
      <c r="K42" s="314"/>
      <c r="L42" s="315"/>
      <c r="M42" s="316"/>
      <c r="N42" s="316"/>
      <c r="O42" s="316"/>
      <c r="P42" s="316"/>
      <c r="Q42" s="316"/>
      <c r="R42" s="316"/>
      <c r="S42" s="316"/>
      <c r="T42" s="317"/>
      <c r="U42" s="317"/>
      <c r="V42" s="318"/>
      <c r="W42" s="319">
        <f>W43+W44</f>
        <v>1400000</v>
      </c>
      <c r="X42" s="320"/>
      <c r="Y42" s="321"/>
      <c r="Z42" s="322"/>
      <c r="AA42" s="323"/>
      <c r="AB42" s="323"/>
      <c r="AC42" s="324"/>
      <c r="AD42" s="324"/>
      <c r="AE42" s="324"/>
      <c r="AF42" s="324"/>
      <c r="AG42" s="325"/>
      <c r="AH42" s="325"/>
      <c r="AI42" s="325"/>
      <c r="AJ42" s="326"/>
      <c r="AK42" s="332"/>
      <c r="AL42" s="328"/>
      <c r="AM42" s="322"/>
      <c r="AN42" s="323"/>
      <c r="AO42" s="323"/>
      <c r="AP42" s="324"/>
      <c r="AQ42" s="324"/>
      <c r="AR42" s="324"/>
      <c r="AS42" s="324"/>
      <c r="AT42" s="325"/>
      <c r="AU42" s="325"/>
      <c r="AV42" s="325"/>
      <c r="AW42" s="326"/>
      <c r="AX42" s="332"/>
      <c r="AY42" s="333"/>
    </row>
    <row r="43" spans="1:51" s="330" customFormat="1" ht="15" customHeight="1" x14ac:dyDescent="0.25">
      <c r="A43" s="306"/>
      <c r="B43" s="307"/>
      <c r="C43" s="307"/>
      <c r="D43" s="308"/>
      <c r="E43" s="308"/>
      <c r="F43" s="308"/>
      <c r="G43" s="307"/>
      <c r="H43" s="311"/>
      <c r="I43" s="312"/>
      <c r="J43" s="331" t="s">
        <v>858</v>
      </c>
      <c r="K43" s="314"/>
      <c r="L43" s="316"/>
      <c r="M43" s="316"/>
      <c r="N43" s="316"/>
      <c r="O43" s="316">
        <v>1</v>
      </c>
      <c r="P43" s="316" t="s">
        <v>656</v>
      </c>
      <c r="Q43" s="316" t="s">
        <v>658</v>
      </c>
      <c r="R43" s="316">
        <v>1</v>
      </c>
      <c r="S43" s="316" t="s">
        <v>683</v>
      </c>
      <c r="T43" s="317">
        <f>R43*O43</f>
        <v>1</v>
      </c>
      <c r="U43" s="317" t="s">
        <v>684</v>
      </c>
      <c r="V43" s="318">
        <v>500000</v>
      </c>
      <c r="W43" s="484">
        <f>V43*T43</f>
        <v>500000</v>
      </c>
      <c r="X43" s="320" t="s">
        <v>649</v>
      </c>
      <c r="Y43" s="321"/>
      <c r="Z43" s="322"/>
      <c r="AA43" s="323"/>
      <c r="AB43" s="323"/>
      <c r="AC43" s="324">
        <v>1000000</v>
      </c>
      <c r="AD43" s="324"/>
      <c r="AE43" s="324"/>
      <c r="AF43" s="324"/>
      <c r="AG43" s="325"/>
      <c r="AH43" s="325"/>
      <c r="AI43" s="325"/>
      <c r="AJ43" s="326"/>
      <c r="AK43" s="332">
        <f t="shared" ref="AK43" si="1">SUM(Y43:AJ43)</f>
        <v>1000000</v>
      </c>
      <c r="AL43" s="328"/>
      <c r="AM43" s="322"/>
      <c r="AN43" s="323"/>
      <c r="AO43" s="323"/>
      <c r="AP43" s="324"/>
      <c r="AQ43" s="324"/>
      <c r="AR43" s="324"/>
      <c r="AS43" s="324"/>
      <c r="AT43" s="325"/>
      <c r="AU43" s="325"/>
      <c r="AV43" s="325"/>
      <c r="AW43" s="326"/>
      <c r="AX43" s="332">
        <f t="shared" ref="AX43" si="2">SUM(AL43:AW43)</f>
        <v>0</v>
      </c>
      <c r="AY43" s="333">
        <f t="shared" ref="AY43" si="3">AK43-AX43</f>
        <v>1000000</v>
      </c>
    </row>
    <row r="44" spans="1:51" s="330" customFormat="1" ht="15" customHeight="1" x14ac:dyDescent="0.25">
      <c r="A44" s="306"/>
      <c r="B44" s="307"/>
      <c r="C44" s="307"/>
      <c r="D44" s="308"/>
      <c r="E44" s="308"/>
      <c r="F44" s="308"/>
      <c r="G44" s="307"/>
      <c r="H44" s="311"/>
      <c r="I44" s="312"/>
      <c r="J44" s="331" t="s">
        <v>859</v>
      </c>
      <c r="K44" s="314"/>
      <c r="L44" s="316"/>
      <c r="M44" s="316"/>
      <c r="N44" s="316"/>
      <c r="O44" s="316">
        <v>1</v>
      </c>
      <c r="P44" s="316" t="s">
        <v>656</v>
      </c>
      <c r="Q44" s="316" t="s">
        <v>658</v>
      </c>
      <c r="R44" s="316">
        <v>1</v>
      </c>
      <c r="S44" s="316" t="s">
        <v>683</v>
      </c>
      <c r="T44" s="317">
        <f>R44*O44</f>
        <v>1</v>
      </c>
      <c r="U44" s="317" t="s">
        <v>684</v>
      </c>
      <c r="V44" s="318">
        <v>900000</v>
      </c>
      <c r="W44" s="484">
        <f>V44*T44</f>
        <v>900000</v>
      </c>
      <c r="X44" s="320" t="s">
        <v>649</v>
      </c>
      <c r="Y44" s="321"/>
      <c r="Z44" s="322"/>
      <c r="AA44" s="323"/>
      <c r="AB44" s="323"/>
      <c r="AC44" s="324"/>
      <c r="AD44" s="324"/>
      <c r="AE44" s="324"/>
      <c r="AF44" s="324"/>
      <c r="AG44" s="325"/>
      <c r="AH44" s="325"/>
      <c r="AI44" s="325"/>
      <c r="AJ44" s="326"/>
      <c r="AK44" s="332"/>
      <c r="AL44" s="328"/>
      <c r="AM44" s="322"/>
      <c r="AN44" s="323"/>
      <c r="AO44" s="323"/>
      <c r="AP44" s="324"/>
      <c r="AQ44" s="324"/>
      <c r="AR44" s="324"/>
      <c r="AS44" s="324"/>
      <c r="AT44" s="325"/>
      <c r="AU44" s="325"/>
      <c r="AV44" s="325"/>
      <c r="AW44" s="326"/>
      <c r="AX44" s="332"/>
      <c r="AY44" s="333"/>
    </row>
    <row r="45" spans="1:51" s="330" customFormat="1" ht="15" customHeight="1" x14ac:dyDescent="0.25">
      <c r="A45" s="306"/>
      <c r="B45" s="307"/>
      <c r="C45" s="307"/>
      <c r="D45" s="308"/>
      <c r="E45" s="308"/>
      <c r="F45" s="308"/>
      <c r="G45" s="307"/>
      <c r="H45" s="311"/>
      <c r="I45" s="312"/>
      <c r="J45" s="331"/>
      <c r="K45" s="314"/>
      <c r="L45" s="316"/>
      <c r="M45" s="316"/>
      <c r="N45" s="316"/>
      <c r="O45" s="316"/>
      <c r="P45" s="316"/>
      <c r="Q45" s="316"/>
      <c r="R45" s="316"/>
      <c r="S45" s="316"/>
      <c r="T45" s="317"/>
      <c r="U45" s="317"/>
      <c r="V45" s="318"/>
      <c r="W45" s="319"/>
      <c r="X45" s="320"/>
      <c r="Y45" s="321"/>
      <c r="Z45" s="322"/>
      <c r="AA45" s="323"/>
      <c r="AB45" s="323"/>
      <c r="AC45" s="324"/>
      <c r="AD45" s="324"/>
      <c r="AE45" s="324"/>
      <c r="AF45" s="324"/>
      <c r="AG45" s="325"/>
      <c r="AH45" s="325"/>
      <c r="AI45" s="325"/>
      <c r="AJ45" s="326"/>
      <c r="AK45" s="332"/>
      <c r="AL45" s="328"/>
      <c r="AM45" s="322"/>
      <c r="AN45" s="323"/>
      <c r="AO45" s="323"/>
      <c r="AP45" s="324"/>
      <c r="AQ45" s="324"/>
      <c r="AR45" s="324"/>
      <c r="AS45" s="324"/>
      <c r="AT45" s="325"/>
      <c r="AU45" s="325"/>
      <c r="AV45" s="325"/>
      <c r="AW45" s="326"/>
      <c r="AX45" s="332"/>
      <c r="AY45" s="333"/>
    </row>
    <row r="46" spans="1:51" s="330" customFormat="1" ht="15" customHeight="1" x14ac:dyDescent="0.25">
      <c r="A46" s="306"/>
      <c r="B46" s="307" t="s">
        <v>59</v>
      </c>
      <c r="C46" s="307" t="s">
        <v>50</v>
      </c>
      <c r="D46" s="309" t="s">
        <v>67</v>
      </c>
      <c r="E46" s="309" t="s">
        <v>67</v>
      </c>
      <c r="F46" s="308" t="s">
        <v>65</v>
      </c>
      <c r="G46" s="310" t="s">
        <v>774</v>
      </c>
      <c r="H46" s="311"/>
      <c r="I46" s="312"/>
      <c r="J46" s="331" t="s">
        <v>775</v>
      </c>
      <c r="K46" s="314"/>
      <c r="L46" s="316"/>
      <c r="M46" s="316"/>
      <c r="N46" s="316"/>
      <c r="O46" s="316"/>
      <c r="P46" s="316"/>
      <c r="Q46" s="316"/>
      <c r="R46" s="316"/>
      <c r="S46" s="316"/>
      <c r="T46" s="317"/>
      <c r="U46" s="317"/>
      <c r="V46" s="318"/>
      <c r="W46" s="319">
        <f>SUM(W47:W51)</f>
        <v>6520000</v>
      </c>
      <c r="X46" s="320"/>
      <c r="Y46" s="321"/>
      <c r="Z46" s="322"/>
      <c r="AA46" s="323"/>
      <c r="AB46" s="323"/>
      <c r="AC46" s="324"/>
      <c r="AD46" s="324"/>
      <c r="AE46" s="324"/>
      <c r="AF46" s="324"/>
      <c r="AG46" s="325"/>
      <c r="AH46" s="325"/>
      <c r="AI46" s="325"/>
      <c r="AJ46" s="326"/>
      <c r="AK46" s="332"/>
      <c r="AL46" s="328"/>
      <c r="AM46" s="322"/>
      <c r="AN46" s="323"/>
      <c r="AO46" s="323"/>
      <c r="AP46" s="324"/>
      <c r="AQ46" s="324"/>
      <c r="AR46" s="324"/>
      <c r="AS46" s="324"/>
      <c r="AT46" s="325"/>
      <c r="AU46" s="325"/>
      <c r="AV46" s="325"/>
      <c r="AW46" s="326"/>
      <c r="AX46" s="332"/>
      <c r="AY46" s="333"/>
    </row>
    <row r="47" spans="1:51" s="330" customFormat="1" ht="15" customHeight="1" x14ac:dyDescent="0.25">
      <c r="A47" s="306"/>
      <c r="B47" s="307"/>
      <c r="C47" s="307"/>
      <c r="D47" s="309"/>
      <c r="E47" s="309"/>
      <c r="F47" s="308"/>
      <c r="G47" s="310"/>
      <c r="H47" s="311"/>
      <c r="I47" s="312"/>
      <c r="J47" s="331" t="s">
        <v>791</v>
      </c>
      <c r="K47" s="314"/>
      <c r="L47" s="316"/>
      <c r="M47" s="316"/>
      <c r="N47" s="316"/>
      <c r="O47" s="316">
        <v>1</v>
      </c>
      <c r="P47" s="316" t="s">
        <v>656</v>
      </c>
      <c r="Q47" s="316" t="s">
        <v>658</v>
      </c>
      <c r="R47" s="316">
        <v>1</v>
      </c>
      <c r="S47" s="316" t="s">
        <v>792</v>
      </c>
      <c r="T47" s="317">
        <f>R47*O47</f>
        <v>1</v>
      </c>
      <c r="U47" s="317" t="s">
        <v>792</v>
      </c>
      <c r="V47" s="318">
        <v>1900000</v>
      </c>
      <c r="W47" s="484">
        <f>V47*T47</f>
        <v>1900000</v>
      </c>
      <c r="X47" s="320" t="s">
        <v>649</v>
      </c>
      <c r="Y47" s="321"/>
      <c r="Z47" s="322"/>
      <c r="AA47" s="323"/>
      <c r="AB47" s="323"/>
      <c r="AC47" s="324"/>
      <c r="AD47" s="324"/>
      <c r="AE47" s="324">
        <v>1900000</v>
      </c>
      <c r="AF47" s="324"/>
      <c r="AG47" s="325"/>
      <c r="AH47" s="325"/>
      <c r="AI47" s="325"/>
      <c r="AJ47" s="326"/>
      <c r="AK47" s="332">
        <f t="shared" ref="AK47:AK50" si="4">SUM(Y47:AJ47)</f>
        <v>1900000</v>
      </c>
      <c r="AL47" s="328"/>
      <c r="AM47" s="322"/>
      <c r="AN47" s="323"/>
      <c r="AO47" s="323"/>
      <c r="AP47" s="324"/>
      <c r="AQ47" s="324"/>
      <c r="AR47" s="324"/>
      <c r="AS47" s="324"/>
      <c r="AT47" s="325"/>
      <c r="AU47" s="325"/>
      <c r="AV47" s="325"/>
      <c r="AW47" s="326"/>
      <c r="AX47" s="332">
        <f t="shared" ref="AX47" si="5">SUM(AL47:AW47)</f>
        <v>0</v>
      </c>
      <c r="AY47" s="333">
        <f t="shared" ref="AY47" si="6">AK47-AX47</f>
        <v>1900000</v>
      </c>
    </row>
    <row r="48" spans="1:51" s="330" customFormat="1" ht="15" customHeight="1" x14ac:dyDescent="0.25">
      <c r="A48" s="306"/>
      <c r="B48" s="307"/>
      <c r="C48" s="307"/>
      <c r="D48" s="309"/>
      <c r="E48" s="309"/>
      <c r="F48" s="308"/>
      <c r="G48" s="310"/>
      <c r="H48" s="311"/>
      <c r="I48" s="312"/>
      <c r="J48" s="331" t="s">
        <v>793</v>
      </c>
      <c r="K48" s="314"/>
      <c r="L48" s="316"/>
      <c r="M48" s="316"/>
      <c r="N48" s="316"/>
      <c r="O48" s="316">
        <v>6</v>
      </c>
      <c r="P48" s="316" t="s">
        <v>656</v>
      </c>
      <c r="Q48" s="316" t="s">
        <v>658</v>
      </c>
      <c r="R48" s="316">
        <v>1</v>
      </c>
      <c r="S48" s="316" t="s">
        <v>792</v>
      </c>
      <c r="T48" s="317">
        <f>R48*O48</f>
        <v>6</v>
      </c>
      <c r="U48" s="317" t="s">
        <v>792</v>
      </c>
      <c r="V48" s="318">
        <v>480000</v>
      </c>
      <c r="W48" s="484">
        <f>V48*T48</f>
        <v>2880000</v>
      </c>
      <c r="X48" s="320" t="s">
        <v>649</v>
      </c>
      <c r="Y48" s="321"/>
      <c r="Z48" s="322"/>
      <c r="AA48" s="323"/>
      <c r="AB48" s="323"/>
      <c r="AC48" s="324"/>
      <c r="AD48" s="324"/>
      <c r="AE48" s="324">
        <v>2880000</v>
      </c>
      <c r="AF48" s="324"/>
      <c r="AG48" s="325"/>
      <c r="AH48" s="325"/>
      <c r="AI48" s="325"/>
      <c r="AJ48" s="326"/>
      <c r="AK48" s="332">
        <f t="shared" si="4"/>
        <v>2880000</v>
      </c>
      <c r="AL48" s="328"/>
      <c r="AM48" s="322"/>
      <c r="AN48" s="323"/>
      <c r="AO48" s="323"/>
      <c r="AP48" s="324"/>
      <c r="AQ48" s="324"/>
      <c r="AR48" s="324"/>
      <c r="AS48" s="324"/>
      <c r="AT48" s="325"/>
      <c r="AU48" s="325"/>
      <c r="AV48" s="325"/>
      <c r="AW48" s="326"/>
      <c r="AX48" s="332">
        <f t="shared" ref="AX48" si="7">SUM(AL48:AW48)</f>
        <v>0</v>
      </c>
      <c r="AY48" s="333">
        <f t="shared" ref="AY48" si="8">AK48-AX48</f>
        <v>2880000</v>
      </c>
    </row>
    <row r="49" spans="1:51" s="330" customFormat="1" ht="15" customHeight="1" x14ac:dyDescent="0.25">
      <c r="A49" s="306"/>
      <c r="B49" s="307"/>
      <c r="C49" s="307"/>
      <c r="D49" s="309"/>
      <c r="E49" s="309"/>
      <c r="F49" s="308"/>
      <c r="G49" s="310"/>
      <c r="H49" s="311"/>
      <c r="I49" s="312"/>
      <c r="J49" s="331" t="s">
        <v>794</v>
      </c>
      <c r="K49" s="314"/>
      <c r="L49" s="316"/>
      <c r="M49" s="316"/>
      <c r="N49" s="316"/>
      <c r="O49" s="316">
        <v>1</v>
      </c>
      <c r="P49" s="316" t="s">
        <v>656</v>
      </c>
      <c r="Q49" s="316" t="s">
        <v>658</v>
      </c>
      <c r="R49" s="316">
        <v>1</v>
      </c>
      <c r="S49" s="316" t="s">
        <v>792</v>
      </c>
      <c r="T49" s="317">
        <f>R49*O49</f>
        <v>1</v>
      </c>
      <c r="U49" s="317" t="s">
        <v>792</v>
      </c>
      <c r="V49" s="318">
        <v>480000</v>
      </c>
      <c r="W49" s="484">
        <f>V49*T49</f>
        <v>480000</v>
      </c>
      <c r="X49" s="320" t="s">
        <v>649</v>
      </c>
      <c r="Y49" s="321"/>
      <c r="Z49" s="322"/>
      <c r="AA49" s="323"/>
      <c r="AB49" s="323"/>
      <c r="AC49" s="324"/>
      <c r="AD49" s="324"/>
      <c r="AE49" s="324">
        <v>480000</v>
      </c>
      <c r="AF49" s="324"/>
      <c r="AG49" s="325"/>
      <c r="AH49" s="325"/>
      <c r="AI49" s="325"/>
      <c r="AJ49" s="326"/>
      <c r="AK49" s="332">
        <f t="shared" si="4"/>
        <v>480000</v>
      </c>
      <c r="AL49" s="328"/>
      <c r="AM49" s="322"/>
      <c r="AN49" s="323"/>
      <c r="AO49" s="323"/>
      <c r="AP49" s="324"/>
      <c r="AQ49" s="324"/>
      <c r="AR49" s="324"/>
      <c r="AS49" s="324"/>
      <c r="AT49" s="325"/>
      <c r="AU49" s="325"/>
      <c r="AV49" s="325"/>
      <c r="AW49" s="326"/>
      <c r="AX49" s="332">
        <f t="shared" ref="AX49:AX50" si="9">SUM(AL49:AW49)</f>
        <v>0</v>
      </c>
      <c r="AY49" s="333">
        <f t="shared" ref="AY49:AY50" si="10">AK49-AX49</f>
        <v>480000</v>
      </c>
    </row>
    <row r="50" spans="1:51" s="330" customFormat="1" ht="15" customHeight="1" x14ac:dyDescent="0.25">
      <c r="A50" s="306"/>
      <c r="B50" s="307"/>
      <c r="C50" s="307"/>
      <c r="D50" s="309"/>
      <c r="E50" s="309"/>
      <c r="F50" s="308"/>
      <c r="G50" s="310"/>
      <c r="H50" s="311"/>
      <c r="I50" s="312"/>
      <c r="J50" s="331" t="s">
        <v>795</v>
      </c>
      <c r="K50" s="314"/>
      <c r="L50" s="316"/>
      <c r="M50" s="316"/>
      <c r="N50" s="316"/>
      <c r="O50" s="316">
        <v>1</v>
      </c>
      <c r="P50" s="316" t="s">
        <v>656</v>
      </c>
      <c r="Q50" s="316" t="s">
        <v>658</v>
      </c>
      <c r="R50" s="316">
        <v>1</v>
      </c>
      <c r="S50" s="316" t="s">
        <v>792</v>
      </c>
      <c r="T50" s="317">
        <f>R50*O50</f>
        <v>1</v>
      </c>
      <c r="U50" s="317" t="s">
        <v>792</v>
      </c>
      <c r="V50" s="318">
        <v>480000</v>
      </c>
      <c r="W50" s="484">
        <f>V50*T50</f>
        <v>480000</v>
      </c>
      <c r="X50" s="320" t="s">
        <v>649</v>
      </c>
      <c r="Y50" s="321"/>
      <c r="Z50" s="322"/>
      <c r="AA50" s="323"/>
      <c r="AB50" s="323"/>
      <c r="AC50" s="324"/>
      <c r="AD50" s="324"/>
      <c r="AE50" s="324">
        <v>480000</v>
      </c>
      <c r="AF50" s="324"/>
      <c r="AG50" s="325"/>
      <c r="AH50" s="325"/>
      <c r="AI50" s="325"/>
      <c r="AJ50" s="326"/>
      <c r="AK50" s="332">
        <f t="shared" si="4"/>
        <v>480000</v>
      </c>
      <c r="AL50" s="328"/>
      <c r="AM50" s="322"/>
      <c r="AN50" s="323"/>
      <c r="AO50" s="323"/>
      <c r="AP50" s="324"/>
      <c r="AQ50" s="324"/>
      <c r="AR50" s="324"/>
      <c r="AS50" s="324"/>
      <c r="AT50" s="325"/>
      <c r="AU50" s="325"/>
      <c r="AV50" s="325"/>
      <c r="AW50" s="326"/>
      <c r="AX50" s="332">
        <f t="shared" si="9"/>
        <v>0</v>
      </c>
      <c r="AY50" s="333">
        <f t="shared" si="10"/>
        <v>480000</v>
      </c>
    </row>
    <row r="51" spans="1:51" s="330" customFormat="1" ht="15" customHeight="1" x14ac:dyDescent="0.25">
      <c r="A51" s="306"/>
      <c r="B51" s="307"/>
      <c r="C51" s="307"/>
      <c r="D51" s="308"/>
      <c r="E51" s="308"/>
      <c r="F51" s="308"/>
      <c r="G51" s="307"/>
      <c r="H51" s="311"/>
      <c r="I51" s="312"/>
      <c r="J51" s="331" t="s">
        <v>896</v>
      </c>
      <c r="K51" s="314"/>
      <c r="L51" s="316"/>
      <c r="M51" s="316"/>
      <c r="N51" s="316"/>
      <c r="O51" s="316">
        <v>1</v>
      </c>
      <c r="P51" s="316" t="s">
        <v>656</v>
      </c>
      <c r="Q51" s="316" t="s">
        <v>658</v>
      </c>
      <c r="R51" s="316">
        <v>39</v>
      </c>
      <c r="S51" s="316" t="s">
        <v>155</v>
      </c>
      <c r="T51" s="317">
        <f>R51*O51</f>
        <v>39</v>
      </c>
      <c r="U51" s="317" t="s">
        <v>155</v>
      </c>
      <c r="V51" s="318">
        <v>20000</v>
      </c>
      <c r="W51" s="484">
        <f>V51*T51</f>
        <v>780000</v>
      </c>
      <c r="X51" s="320" t="s">
        <v>649</v>
      </c>
      <c r="Y51" s="321"/>
      <c r="Z51" s="322"/>
      <c r="AA51" s="323"/>
      <c r="AB51" s="323"/>
      <c r="AC51" s="324"/>
      <c r="AD51" s="324"/>
      <c r="AE51" s="324"/>
      <c r="AF51" s="324"/>
      <c r="AG51" s="325"/>
      <c r="AH51" s="325"/>
      <c r="AI51" s="325"/>
      <c r="AJ51" s="326"/>
      <c r="AK51" s="332"/>
      <c r="AL51" s="328"/>
      <c r="AM51" s="322"/>
      <c r="AN51" s="323"/>
      <c r="AO51" s="323"/>
      <c r="AP51" s="324"/>
      <c r="AQ51" s="324"/>
      <c r="AR51" s="324"/>
      <c r="AS51" s="324"/>
      <c r="AT51" s="325"/>
      <c r="AU51" s="325"/>
      <c r="AV51" s="325"/>
      <c r="AW51" s="326"/>
      <c r="AX51" s="332"/>
      <c r="AY51" s="333"/>
    </row>
    <row r="52" spans="1:51" s="305" customFormat="1" ht="15" customHeight="1" x14ac:dyDescent="0.25">
      <c r="A52" s="269"/>
      <c r="B52" s="270" t="s">
        <v>59</v>
      </c>
      <c r="C52" s="270" t="s">
        <v>50</v>
      </c>
      <c r="D52" s="288" t="s">
        <v>67</v>
      </c>
      <c r="E52" s="288" t="s">
        <v>685</v>
      </c>
      <c r="F52" s="271"/>
      <c r="G52" s="270"/>
      <c r="H52" s="273"/>
      <c r="I52" s="289"/>
      <c r="J52" s="283" t="s">
        <v>686</v>
      </c>
      <c r="K52" s="290"/>
      <c r="L52" s="292"/>
      <c r="M52" s="292"/>
      <c r="N52" s="292"/>
      <c r="O52" s="292"/>
      <c r="P52" s="292"/>
      <c r="Q52" s="292"/>
      <c r="R52" s="292"/>
      <c r="S52" s="292"/>
      <c r="T52" s="293"/>
      <c r="U52" s="293"/>
      <c r="V52" s="294"/>
      <c r="W52" s="295">
        <f>W53</f>
        <v>2500000</v>
      </c>
      <c r="X52" s="296"/>
      <c r="Y52" s="297"/>
      <c r="Z52" s="259"/>
      <c r="AA52" s="298"/>
      <c r="AB52" s="298"/>
      <c r="AC52" s="299"/>
      <c r="AD52" s="299"/>
      <c r="AE52" s="299"/>
      <c r="AF52" s="299"/>
      <c r="AG52" s="300"/>
      <c r="AH52" s="300"/>
      <c r="AI52" s="300"/>
      <c r="AJ52" s="301"/>
      <c r="AK52" s="335"/>
      <c r="AL52" s="303"/>
      <c r="AM52" s="259"/>
      <c r="AN52" s="298"/>
      <c r="AO52" s="298"/>
      <c r="AP52" s="299"/>
      <c r="AQ52" s="299"/>
      <c r="AR52" s="299"/>
      <c r="AS52" s="299"/>
      <c r="AT52" s="300"/>
      <c r="AU52" s="300"/>
      <c r="AV52" s="300"/>
      <c r="AW52" s="301"/>
      <c r="AX52" s="335"/>
      <c r="AY52" s="336"/>
    </row>
    <row r="53" spans="1:51" s="305" customFormat="1" ht="15" customHeight="1" x14ac:dyDescent="0.25">
      <c r="A53" s="269"/>
      <c r="B53" s="270" t="s">
        <v>59</v>
      </c>
      <c r="C53" s="270" t="s">
        <v>50</v>
      </c>
      <c r="D53" s="288" t="s">
        <v>67</v>
      </c>
      <c r="E53" s="288" t="s">
        <v>685</v>
      </c>
      <c r="F53" s="288" t="s">
        <v>65</v>
      </c>
      <c r="G53" s="270"/>
      <c r="H53" s="273"/>
      <c r="I53" s="289"/>
      <c r="J53" s="283" t="s">
        <v>687</v>
      </c>
      <c r="K53" s="290"/>
      <c r="L53" s="292"/>
      <c r="M53" s="292"/>
      <c r="N53" s="292"/>
      <c r="O53" s="292"/>
      <c r="P53" s="292"/>
      <c r="Q53" s="292"/>
      <c r="R53" s="292"/>
      <c r="S53" s="292"/>
      <c r="T53" s="293"/>
      <c r="U53" s="293"/>
      <c r="V53" s="294"/>
      <c r="W53" s="295">
        <f>W54</f>
        <v>2500000</v>
      </c>
      <c r="X53" s="296"/>
      <c r="Y53" s="297"/>
      <c r="Z53" s="259"/>
      <c r="AA53" s="298"/>
      <c r="AB53" s="298"/>
      <c r="AC53" s="299"/>
      <c r="AD53" s="299"/>
      <c r="AE53" s="299"/>
      <c r="AF53" s="299"/>
      <c r="AG53" s="300"/>
      <c r="AH53" s="300"/>
      <c r="AI53" s="300"/>
      <c r="AJ53" s="301"/>
      <c r="AK53" s="335"/>
      <c r="AL53" s="303"/>
      <c r="AM53" s="259"/>
      <c r="AN53" s="298"/>
      <c r="AO53" s="298"/>
      <c r="AP53" s="299"/>
      <c r="AQ53" s="299"/>
      <c r="AR53" s="299"/>
      <c r="AS53" s="299"/>
      <c r="AT53" s="300"/>
      <c r="AU53" s="300"/>
      <c r="AV53" s="300"/>
      <c r="AW53" s="301"/>
      <c r="AX53" s="335"/>
      <c r="AY53" s="336"/>
    </row>
    <row r="54" spans="1:51" s="330" customFormat="1" ht="15" customHeight="1" x14ac:dyDescent="0.25">
      <c r="A54" s="306"/>
      <c r="B54" s="307" t="s">
        <v>59</v>
      </c>
      <c r="C54" s="307" t="s">
        <v>50</v>
      </c>
      <c r="D54" s="309" t="s">
        <v>67</v>
      </c>
      <c r="E54" s="309" t="s">
        <v>685</v>
      </c>
      <c r="F54" s="309" t="s">
        <v>65</v>
      </c>
      <c r="G54" s="310" t="s">
        <v>562</v>
      </c>
      <c r="H54" s="311"/>
      <c r="I54" s="312"/>
      <c r="J54" s="331" t="s">
        <v>688</v>
      </c>
      <c r="K54" s="314"/>
      <c r="L54" s="316"/>
      <c r="M54" s="316"/>
      <c r="N54" s="316"/>
      <c r="O54" s="316"/>
      <c r="P54" s="316"/>
      <c r="Q54" s="316"/>
      <c r="R54" s="316"/>
      <c r="S54" s="316"/>
      <c r="T54" s="317"/>
      <c r="U54" s="317"/>
      <c r="V54" s="318"/>
      <c r="W54" s="319">
        <f>SUM(W55:W57)</f>
        <v>2500000</v>
      </c>
      <c r="X54" s="320"/>
      <c r="Y54" s="321"/>
      <c r="Z54" s="322"/>
      <c r="AA54" s="323"/>
      <c r="AB54" s="323"/>
      <c r="AC54" s="324"/>
      <c r="AD54" s="324"/>
      <c r="AE54" s="324"/>
      <c r="AF54" s="324"/>
      <c r="AG54" s="325"/>
      <c r="AH54" s="325"/>
      <c r="AI54" s="325"/>
      <c r="AJ54" s="326"/>
      <c r="AK54" s="332"/>
      <c r="AL54" s="328"/>
      <c r="AM54" s="322"/>
      <c r="AN54" s="323"/>
      <c r="AO54" s="323"/>
      <c r="AP54" s="324"/>
      <c r="AQ54" s="324"/>
      <c r="AR54" s="324"/>
      <c r="AS54" s="324"/>
      <c r="AT54" s="325"/>
      <c r="AU54" s="325"/>
      <c r="AV54" s="325"/>
      <c r="AW54" s="326"/>
      <c r="AX54" s="332"/>
      <c r="AY54" s="333"/>
    </row>
    <row r="55" spans="1:51" s="330" customFormat="1" ht="15" customHeight="1" x14ac:dyDescent="0.25">
      <c r="A55" s="306"/>
      <c r="B55" s="307"/>
      <c r="C55" s="307"/>
      <c r="D55" s="308"/>
      <c r="E55" s="308"/>
      <c r="F55" s="308"/>
      <c r="G55" s="307"/>
      <c r="H55" s="311"/>
      <c r="I55" s="312"/>
      <c r="J55" s="331" t="s">
        <v>860</v>
      </c>
      <c r="K55" s="314"/>
      <c r="L55" s="316"/>
      <c r="M55" s="316"/>
      <c r="N55" s="316"/>
      <c r="O55" s="316"/>
      <c r="P55" s="316"/>
      <c r="Q55" s="316"/>
      <c r="R55" s="316"/>
      <c r="S55" s="316"/>
      <c r="T55" s="317"/>
      <c r="U55" s="317"/>
      <c r="V55" s="318"/>
      <c r="W55" s="484"/>
      <c r="X55" s="320"/>
      <c r="Y55" s="321">
        <v>1700000</v>
      </c>
      <c r="Z55" s="322"/>
      <c r="AA55" s="323"/>
      <c r="AB55" s="323"/>
      <c r="AC55" s="324"/>
      <c r="AD55" s="324"/>
      <c r="AE55" s="324"/>
      <c r="AF55" s="324"/>
      <c r="AG55" s="325"/>
      <c r="AH55" s="325"/>
      <c r="AI55" s="325"/>
      <c r="AJ55" s="326"/>
      <c r="AK55" s="332">
        <f t="shared" ref="AK55:AK56" si="11">SUM(Y55:AJ55)</f>
        <v>1700000</v>
      </c>
      <c r="AL55" s="328"/>
      <c r="AM55" s="322"/>
      <c r="AN55" s="323"/>
      <c r="AO55" s="323"/>
      <c r="AP55" s="324"/>
      <c r="AQ55" s="324"/>
      <c r="AR55" s="324"/>
      <c r="AS55" s="324"/>
      <c r="AT55" s="325"/>
      <c r="AU55" s="325"/>
      <c r="AV55" s="325"/>
      <c r="AW55" s="326"/>
      <c r="AX55" s="332">
        <f t="shared" ref="AX55:AX56" si="12">SUM(AL55:AW55)</f>
        <v>0</v>
      </c>
      <c r="AY55" s="333">
        <f t="shared" ref="AY55:AY56" si="13">AK55-AX55</f>
        <v>1700000</v>
      </c>
    </row>
    <row r="56" spans="1:51" s="330" customFormat="1" ht="15" customHeight="1" x14ac:dyDescent="0.25">
      <c r="A56" s="306"/>
      <c r="B56" s="307"/>
      <c r="C56" s="307"/>
      <c r="D56" s="308"/>
      <c r="E56" s="308"/>
      <c r="F56" s="308"/>
      <c r="G56" s="307"/>
      <c r="H56" s="311"/>
      <c r="I56" s="312"/>
      <c r="J56" s="331" t="s">
        <v>861</v>
      </c>
      <c r="K56" s="314"/>
      <c r="L56" s="316"/>
      <c r="M56" s="316"/>
      <c r="N56" s="316"/>
      <c r="O56" s="316">
        <v>1</v>
      </c>
      <c r="P56" s="316" t="s">
        <v>656</v>
      </c>
      <c r="Q56" s="316" t="s">
        <v>658</v>
      </c>
      <c r="R56" s="316">
        <v>20</v>
      </c>
      <c r="S56" s="316" t="s">
        <v>683</v>
      </c>
      <c r="T56" s="317">
        <f>R56*O56</f>
        <v>20</v>
      </c>
      <c r="U56" s="317" t="s">
        <v>656</v>
      </c>
      <c r="V56" s="318">
        <v>50000</v>
      </c>
      <c r="W56" s="484">
        <f>V56*T56</f>
        <v>1000000</v>
      </c>
      <c r="X56" s="320" t="s">
        <v>649</v>
      </c>
      <c r="Y56" s="321">
        <v>1700000</v>
      </c>
      <c r="Z56" s="322"/>
      <c r="AA56" s="323"/>
      <c r="AB56" s="323"/>
      <c r="AC56" s="324"/>
      <c r="AD56" s="324"/>
      <c r="AE56" s="324"/>
      <c r="AF56" s="324"/>
      <c r="AG56" s="325"/>
      <c r="AH56" s="325"/>
      <c r="AI56" s="325"/>
      <c r="AJ56" s="326"/>
      <c r="AK56" s="332">
        <f t="shared" si="11"/>
        <v>1700000</v>
      </c>
      <c r="AL56" s="328"/>
      <c r="AM56" s="322"/>
      <c r="AN56" s="323"/>
      <c r="AO56" s="323"/>
      <c r="AP56" s="324"/>
      <c r="AQ56" s="324"/>
      <c r="AR56" s="324"/>
      <c r="AS56" s="324"/>
      <c r="AT56" s="325"/>
      <c r="AU56" s="325"/>
      <c r="AV56" s="325"/>
      <c r="AW56" s="326"/>
      <c r="AX56" s="332">
        <f t="shared" si="12"/>
        <v>0</v>
      </c>
      <c r="AY56" s="333">
        <f t="shared" si="13"/>
        <v>1700000</v>
      </c>
    </row>
    <row r="57" spans="1:51" s="345" customFormat="1" ht="15" customHeight="1" x14ac:dyDescent="0.25">
      <c r="A57" s="306"/>
      <c r="B57" s="307"/>
      <c r="C57" s="307"/>
      <c r="D57" s="308"/>
      <c r="E57" s="308"/>
      <c r="F57" s="308"/>
      <c r="G57" s="307"/>
      <c r="H57" s="311"/>
      <c r="I57" s="347"/>
      <c r="J57" s="313" t="s">
        <v>862</v>
      </c>
      <c r="K57" s="284"/>
      <c r="L57" s="285"/>
      <c r="M57" s="286"/>
      <c r="N57" s="286"/>
      <c r="O57" s="316">
        <v>1</v>
      </c>
      <c r="P57" s="316" t="s">
        <v>656</v>
      </c>
      <c r="Q57" s="316" t="s">
        <v>658</v>
      </c>
      <c r="R57" s="316">
        <v>60</v>
      </c>
      <c r="S57" s="316" t="s">
        <v>683</v>
      </c>
      <c r="T57" s="317">
        <f>R57*O57</f>
        <v>60</v>
      </c>
      <c r="U57" s="317" t="s">
        <v>656</v>
      </c>
      <c r="V57" s="318">
        <v>25000</v>
      </c>
      <c r="W57" s="484">
        <f>V57*T57</f>
        <v>1500000</v>
      </c>
      <c r="X57" s="320" t="s">
        <v>649</v>
      </c>
      <c r="Y57" s="337"/>
      <c r="Z57" s="338"/>
      <c r="AA57" s="338"/>
      <c r="AB57" s="338"/>
      <c r="AC57" s="339"/>
      <c r="AD57" s="339"/>
      <c r="AE57" s="339"/>
      <c r="AF57" s="339"/>
      <c r="AG57" s="340"/>
      <c r="AH57" s="340"/>
      <c r="AI57" s="340"/>
      <c r="AJ57" s="341"/>
      <c r="AK57" s="343"/>
      <c r="AL57" s="342"/>
      <c r="AM57" s="338"/>
      <c r="AN57" s="338"/>
      <c r="AO57" s="338"/>
      <c r="AP57" s="339"/>
      <c r="AQ57" s="339"/>
      <c r="AR57" s="339"/>
      <c r="AS57" s="339"/>
      <c r="AT57" s="340"/>
      <c r="AU57" s="340"/>
      <c r="AV57" s="340"/>
      <c r="AW57" s="341"/>
      <c r="AX57" s="343"/>
      <c r="AY57" s="344"/>
    </row>
    <row r="58" spans="1:51" s="268" customFormat="1" ht="15" customHeight="1" thickBot="1" x14ac:dyDescent="0.3">
      <c r="A58" s="349"/>
      <c r="B58" s="350"/>
      <c r="C58" s="350"/>
      <c r="D58" s="351"/>
      <c r="E58" s="351"/>
      <c r="F58" s="351"/>
      <c r="G58" s="350"/>
      <c r="H58" s="352"/>
      <c r="I58" s="353"/>
      <c r="J58" s="354"/>
      <c r="K58" s="314"/>
      <c r="L58" s="331"/>
      <c r="M58" s="355"/>
      <c r="N58" s="355"/>
      <c r="O58" s="355"/>
      <c r="P58" s="355"/>
      <c r="Q58" s="355"/>
      <c r="R58" s="355"/>
      <c r="S58" s="355"/>
      <c r="T58" s="356"/>
      <c r="U58" s="317"/>
      <c r="V58" s="357"/>
      <c r="W58" s="358"/>
      <c r="X58" s="348"/>
      <c r="Y58" s="359"/>
      <c r="Z58" s="360"/>
      <c r="AA58" s="360"/>
      <c r="AB58" s="360"/>
      <c r="AC58" s="361"/>
      <c r="AD58" s="361"/>
      <c r="AE58" s="361"/>
      <c r="AF58" s="361"/>
      <c r="AG58" s="362"/>
      <c r="AH58" s="362"/>
      <c r="AI58" s="362"/>
      <c r="AJ58" s="363"/>
      <c r="AK58" s="265"/>
      <c r="AL58" s="364"/>
      <c r="AM58" s="360"/>
      <c r="AN58" s="360"/>
      <c r="AO58" s="360"/>
      <c r="AP58" s="361"/>
      <c r="AQ58" s="361"/>
      <c r="AR58" s="361"/>
      <c r="AS58" s="361"/>
      <c r="AT58" s="362"/>
      <c r="AU58" s="362"/>
      <c r="AV58" s="362"/>
      <c r="AW58" s="363"/>
      <c r="AX58" s="265"/>
      <c r="AY58" s="267"/>
    </row>
    <row r="59" spans="1:51" s="379" customFormat="1" ht="20.25" customHeight="1" thickBot="1" x14ac:dyDescent="0.3">
      <c r="A59" s="365" t="s">
        <v>157</v>
      </c>
      <c r="B59" s="366"/>
      <c r="C59" s="367"/>
      <c r="D59" s="367"/>
      <c r="E59" s="367"/>
      <c r="F59" s="367"/>
      <c r="G59" s="367"/>
      <c r="H59" s="367"/>
      <c r="I59" s="367"/>
      <c r="J59" s="367"/>
      <c r="K59" s="367"/>
      <c r="L59" s="367"/>
      <c r="M59" s="367"/>
      <c r="N59" s="367"/>
      <c r="O59" s="367"/>
      <c r="P59" s="367"/>
      <c r="Q59" s="367"/>
      <c r="R59" s="367"/>
      <c r="S59" s="367"/>
      <c r="T59" s="367"/>
      <c r="U59" s="367"/>
      <c r="V59" s="368"/>
      <c r="W59" s="369">
        <f>W37</f>
        <v>10420000</v>
      </c>
      <c r="X59" s="370"/>
      <c r="Y59" s="371"/>
      <c r="Z59" s="372"/>
      <c r="AA59" s="372"/>
      <c r="AB59" s="372"/>
      <c r="AC59" s="373"/>
      <c r="AD59" s="373"/>
      <c r="AE59" s="373"/>
      <c r="AF59" s="373"/>
      <c r="AG59" s="374"/>
      <c r="AH59" s="374"/>
      <c r="AI59" s="374"/>
      <c r="AJ59" s="375"/>
      <c r="AK59" s="376">
        <f>SUM(AK36:AK58)</f>
        <v>10140000</v>
      </c>
      <c r="AL59" s="377"/>
      <c r="AM59" s="372"/>
      <c r="AN59" s="372"/>
      <c r="AO59" s="372"/>
      <c r="AP59" s="373"/>
      <c r="AQ59" s="373"/>
      <c r="AR59" s="373"/>
      <c r="AS59" s="373"/>
      <c r="AT59" s="374"/>
      <c r="AU59" s="374"/>
      <c r="AV59" s="374"/>
      <c r="AW59" s="375"/>
      <c r="AX59" s="376">
        <f>SUM(AX36:AX58)</f>
        <v>0</v>
      </c>
      <c r="AY59" s="378">
        <f>SUM(AY36:AY58)</f>
        <v>10140000</v>
      </c>
    </row>
    <row r="60" spans="1:51" s="268" customFormat="1" ht="15.75" x14ac:dyDescent="0.25">
      <c r="A60" s="219" t="s">
        <v>158</v>
      </c>
      <c r="B60" s="380"/>
      <c r="C60" s="380"/>
      <c r="D60" s="380"/>
      <c r="E60" s="380"/>
      <c r="F60" s="380"/>
      <c r="G60" s="380"/>
      <c r="H60" s="380"/>
      <c r="I60" s="380"/>
      <c r="J60" s="380"/>
      <c r="K60" s="381"/>
      <c r="L60" s="382"/>
      <c r="M60" s="380"/>
      <c r="N60" s="380"/>
      <c r="O60" s="380"/>
      <c r="P60" s="380"/>
      <c r="Q60" s="380"/>
      <c r="R60" s="380"/>
      <c r="S60" s="380"/>
      <c r="T60" s="383"/>
      <c r="U60" s="384"/>
      <c r="V60" s="384"/>
      <c r="W60" s="384"/>
      <c r="X60" s="385"/>
      <c r="Y60" s="386"/>
      <c r="Z60" s="387"/>
      <c r="AA60" s="387"/>
      <c r="AB60" s="387"/>
      <c r="AC60" s="387"/>
      <c r="AD60" s="387"/>
      <c r="AE60" s="387"/>
      <c r="AF60" s="387"/>
      <c r="AG60" s="387"/>
      <c r="AH60" s="387"/>
      <c r="AI60" s="387"/>
      <c r="AJ60" s="387"/>
    </row>
    <row r="61" spans="1:51" s="268" customFormat="1" ht="15.75" x14ac:dyDescent="0.25">
      <c r="A61" s="219" t="s">
        <v>159</v>
      </c>
      <c r="B61" s="220"/>
      <c r="C61" s="380"/>
      <c r="D61" s="660" t="s">
        <v>160</v>
      </c>
      <c r="E61" s="660"/>
      <c r="F61" s="660"/>
      <c r="G61" s="660"/>
      <c r="H61" s="660"/>
      <c r="I61" s="388"/>
      <c r="J61" s="388"/>
      <c r="K61" s="389"/>
      <c r="L61" s="390"/>
      <c r="M61" s="391"/>
      <c r="N61" s="391"/>
      <c r="O61" s="391"/>
      <c r="P61" s="391"/>
      <c r="Q61" s="391"/>
      <c r="R61" s="391"/>
      <c r="S61" s="391"/>
      <c r="T61" s="380"/>
      <c r="U61" s="388"/>
      <c r="V61" s="392" t="s">
        <v>841</v>
      </c>
      <c r="W61" s="393"/>
      <c r="X61" s="394"/>
      <c r="Y61" s="387"/>
      <c r="Z61" s="387"/>
      <c r="AA61" s="387" t="s">
        <v>161</v>
      </c>
      <c r="AB61" s="387"/>
      <c r="AC61" s="387"/>
      <c r="AD61" s="387"/>
      <c r="AE61" s="387"/>
      <c r="AF61" s="387"/>
      <c r="AG61" s="387"/>
      <c r="AH61" s="387"/>
      <c r="AI61" s="387"/>
      <c r="AJ61" s="387"/>
    </row>
    <row r="62" spans="1:51" s="268" customFormat="1" ht="12" customHeight="1" x14ac:dyDescent="0.25">
      <c r="A62" s="219" t="s">
        <v>162</v>
      </c>
      <c r="B62" s="220"/>
      <c r="C62" s="380"/>
      <c r="D62" s="660" t="s">
        <v>160</v>
      </c>
      <c r="E62" s="660"/>
      <c r="F62" s="660"/>
      <c r="G62" s="660"/>
      <c r="H62" s="660"/>
      <c r="I62" s="388"/>
      <c r="J62" s="388"/>
      <c r="K62" s="389"/>
      <c r="L62" s="390"/>
      <c r="M62" s="391"/>
      <c r="N62" s="391"/>
      <c r="O62" s="391"/>
      <c r="P62" s="391"/>
      <c r="Q62" s="391"/>
      <c r="R62" s="391"/>
      <c r="S62" s="391"/>
      <c r="T62" s="380"/>
      <c r="U62" s="384"/>
      <c r="V62" s="395" t="s">
        <v>26</v>
      </c>
      <c r="W62" s="393"/>
      <c r="X62" s="394"/>
      <c r="Y62" s="387"/>
      <c r="Z62" s="387"/>
      <c r="AA62" s="387"/>
      <c r="AB62" s="387"/>
      <c r="AC62" s="387"/>
      <c r="AD62" s="387"/>
      <c r="AE62" s="387"/>
      <c r="AF62" s="387"/>
      <c r="AG62" s="387"/>
      <c r="AH62" s="387"/>
      <c r="AI62" s="387"/>
      <c r="AJ62" s="387"/>
    </row>
    <row r="63" spans="1:51" s="268" customFormat="1" ht="15.75" x14ac:dyDescent="0.25">
      <c r="A63" s="219" t="s">
        <v>163</v>
      </c>
      <c r="B63" s="220"/>
      <c r="C63" s="380"/>
      <c r="D63" s="660" t="s">
        <v>160</v>
      </c>
      <c r="E63" s="660"/>
      <c r="F63" s="660"/>
      <c r="G63" s="660"/>
      <c r="H63" s="660"/>
      <c r="I63" s="388"/>
      <c r="J63" s="388"/>
      <c r="K63" s="389"/>
      <c r="L63" s="390"/>
      <c r="M63" s="391"/>
      <c r="N63" s="391"/>
      <c r="O63" s="391"/>
      <c r="P63" s="391"/>
      <c r="Q63" s="391"/>
      <c r="R63" s="391"/>
      <c r="S63" s="391"/>
      <c r="T63" s="380"/>
      <c r="U63" s="384"/>
      <c r="V63" s="395"/>
      <c r="W63" s="393"/>
      <c r="X63" s="394"/>
      <c r="Y63" s="387"/>
      <c r="Z63" s="387"/>
      <c r="AA63" s="387"/>
      <c r="AB63" s="387"/>
      <c r="AC63" s="387"/>
      <c r="AD63" s="387"/>
      <c r="AE63" s="387"/>
      <c r="AF63" s="387"/>
      <c r="AG63" s="387"/>
      <c r="AH63" s="387"/>
      <c r="AI63" s="387"/>
      <c r="AJ63" s="387"/>
    </row>
    <row r="64" spans="1:51" s="268" customFormat="1" ht="15.75" x14ac:dyDescent="0.25">
      <c r="A64" s="219"/>
      <c r="B64" s="220"/>
      <c r="C64" s="380"/>
      <c r="D64" s="659"/>
      <c r="E64" s="659"/>
      <c r="F64" s="659"/>
      <c r="G64" s="659"/>
      <c r="H64" s="659"/>
      <c r="I64" s="388"/>
      <c r="J64" s="388"/>
      <c r="K64" s="396"/>
      <c r="L64" s="390"/>
      <c r="M64" s="391"/>
      <c r="N64" s="391"/>
      <c r="O64" s="391"/>
      <c r="P64" s="391"/>
      <c r="Q64" s="391"/>
      <c r="R64" s="391"/>
      <c r="S64" s="391"/>
      <c r="T64" s="380"/>
      <c r="U64" s="393"/>
      <c r="V64" s="395"/>
      <c r="W64" s="393"/>
      <c r="X64" s="394"/>
      <c r="Y64" s="387"/>
      <c r="Z64" s="387"/>
      <c r="AA64" s="387"/>
      <c r="AB64" s="387"/>
      <c r="AC64" s="387"/>
      <c r="AD64" s="387"/>
      <c r="AE64" s="387"/>
      <c r="AF64" s="387"/>
      <c r="AG64" s="387"/>
      <c r="AH64" s="387"/>
      <c r="AI64" s="387"/>
      <c r="AJ64" s="387"/>
    </row>
    <row r="65" spans="1:36" s="268" customFormat="1" ht="15.75" x14ac:dyDescent="0.25">
      <c r="A65" s="219" t="s">
        <v>87</v>
      </c>
      <c r="B65" s="220"/>
      <c r="C65" s="380"/>
      <c r="D65" s="660" t="s">
        <v>160</v>
      </c>
      <c r="E65" s="660"/>
      <c r="F65" s="660"/>
      <c r="G65" s="660"/>
      <c r="H65" s="660"/>
      <c r="I65" s="388"/>
      <c r="J65" s="388"/>
      <c r="K65" s="396"/>
      <c r="L65" s="390"/>
      <c r="M65" s="391"/>
      <c r="N65" s="391"/>
      <c r="O65" s="391"/>
      <c r="P65" s="391"/>
      <c r="Q65" s="391"/>
      <c r="R65" s="391"/>
      <c r="S65" s="391"/>
      <c r="T65" s="380"/>
      <c r="U65" s="393"/>
      <c r="V65" s="397"/>
      <c r="W65" s="398"/>
      <c r="X65" s="394"/>
      <c r="Y65" s="387"/>
      <c r="Z65" s="387"/>
      <c r="AA65" s="387"/>
      <c r="AB65" s="387"/>
      <c r="AC65" s="387"/>
      <c r="AD65" s="387"/>
      <c r="AE65" s="387"/>
      <c r="AF65" s="387"/>
      <c r="AG65" s="387"/>
      <c r="AH65" s="387"/>
      <c r="AI65" s="387"/>
      <c r="AJ65" s="387"/>
    </row>
    <row r="66" spans="1:36" s="268" customFormat="1" ht="15.75" x14ac:dyDescent="0.25">
      <c r="A66" s="399"/>
      <c r="B66" s="380"/>
      <c r="C66" s="380"/>
      <c r="D66" s="380"/>
      <c r="E66" s="380"/>
      <c r="F66" s="380"/>
      <c r="G66" s="380"/>
      <c r="H66" s="380"/>
      <c r="I66" s="388"/>
      <c r="J66" s="388"/>
      <c r="K66" s="396"/>
      <c r="L66" s="390"/>
      <c r="M66" s="391"/>
      <c r="N66" s="391"/>
      <c r="O66" s="391"/>
      <c r="P66" s="391"/>
      <c r="Q66" s="391"/>
      <c r="R66" s="391"/>
      <c r="S66" s="391"/>
      <c r="T66" s="380"/>
      <c r="U66" s="223"/>
      <c r="V66" s="400" t="s">
        <v>28</v>
      </c>
      <c r="W66" s="401"/>
      <c r="X66" s="394"/>
      <c r="Y66" s="387"/>
      <c r="Z66" s="387"/>
      <c r="AA66" s="387"/>
      <c r="AB66" s="387"/>
      <c r="AC66" s="387"/>
      <c r="AD66" s="387"/>
      <c r="AE66" s="387"/>
      <c r="AF66" s="387"/>
      <c r="AG66" s="387"/>
      <c r="AH66" s="387"/>
      <c r="AI66" s="387"/>
      <c r="AJ66" s="387"/>
    </row>
    <row r="67" spans="1:36" s="268" customFormat="1" ht="15.75" x14ac:dyDescent="0.25">
      <c r="A67" s="399"/>
      <c r="B67" s="380"/>
      <c r="C67" s="380"/>
      <c r="D67" s="380"/>
      <c r="E67" s="380"/>
      <c r="F67" s="380"/>
      <c r="G67" s="380"/>
      <c r="H67" s="380"/>
      <c r="I67" s="393"/>
      <c r="J67" s="388"/>
      <c r="K67" s="389"/>
      <c r="L67" s="390"/>
      <c r="M67" s="391"/>
      <c r="N67" s="391"/>
      <c r="O67" s="391"/>
      <c r="P67" s="391"/>
      <c r="Q67" s="391"/>
      <c r="R67" s="391"/>
      <c r="S67" s="391"/>
      <c r="T67" s="380"/>
      <c r="U67" s="223"/>
      <c r="V67" s="402" t="s">
        <v>76</v>
      </c>
      <c r="W67" s="393"/>
      <c r="X67" s="394"/>
      <c r="Y67" s="387"/>
      <c r="Z67" s="387"/>
      <c r="AA67" s="387"/>
      <c r="AB67" s="387"/>
      <c r="AC67" s="387"/>
      <c r="AD67" s="387"/>
      <c r="AE67" s="387"/>
      <c r="AF67" s="387"/>
      <c r="AG67" s="387"/>
      <c r="AH67" s="387"/>
      <c r="AI67" s="387"/>
      <c r="AJ67" s="387"/>
    </row>
    <row r="68" spans="1:36" s="268" customFormat="1" ht="11.25" customHeight="1" thickBot="1" x14ac:dyDescent="0.3">
      <c r="A68" s="403"/>
      <c r="B68" s="404"/>
      <c r="C68" s="404"/>
      <c r="D68" s="404"/>
      <c r="E68" s="404"/>
      <c r="F68" s="404"/>
      <c r="G68" s="404"/>
      <c r="H68" s="404"/>
      <c r="I68" s="405"/>
      <c r="J68" s="405"/>
      <c r="K68" s="406"/>
      <c r="L68" s="407"/>
      <c r="M68" s="405"/>
      <c r="N68" s="405"/>
      <c r="O68" s="405"/>
      <c r="P68" s="405"/>
      <c r="Q68" s="405"/>
      <c r="R68" s="405"/>
      <c r="S68" s="405"/>
      <c r="T68" s="408"/>
      <c r="U68" s="409"/>
      <c r="V68" s="410"/>
      <c r="W68" s="410"/>
      <c r="X68" s="411"/>
      <c r="Y68" s="387"/>
      <c r="Z68" s="387"/>
      <c r="AA68" s="387"/>
      <c r="AB68" s="387"/>
      <c r="AC68" s="387"/>
      <c r="AD68" s="387"/>
      <c r="AE68" s="387"/>
      <c r="AF68" s="387"/>
      <c r="AG68" s="387"/>
      <c r="AH68" s="387"/>
      <c r="AI68" s="387"/>
      <c r="AJ68" s="387"/>
    </row>
    <row r="69" spans="1:36" s="199" customFormat="1" ht="15.75" x14ac:dyDescent="0.25">
      <c r="A69" s="412"/>
      <c r="B69" s="412"/>
      <c r="C69" s="412"/>
      <c r="D69" s="412"/>
      <c r="E69" s="412"/>
      <c r="F69" s="412"/>
      <c r="G69" s="412"/>
      <c r="H69" s="412"/>
      <c r="I69" s="413"/>
      <c r="J69" s="413"/>
      <c r="K69" s="413"/>
      <c r="L69" s="414"/>
      <c r="M69" s="412"/>
      <c r="N69" s="412"/>
      <c r="O69" s="412"/>
      <c r="P69" s="412"/>
      <c r="Q69" s="412"/>
      <c r="R69" s="412"/>
      <c r="S69" s="412"/>
      <c r="T69" s="412"/>
      <c r="U69" s="413"/>
      <c r="V69" s="413"/>
      <c r="W69" s="413"/>
      <c r="X69" s="413"/>
      <c r="Y69" s="198"/>
      <c r="Z69" s="198"/>
      <c r="AA69" s="198"/>
      <c r="AB69" s="198"/>
      <c r="AC69" s="198"/>
      <c r="AD69" s="198"/>
      <c r="AE69" s="198"/>
      <c r="AF69" s="198"/>
      <c r="AG69" s="198"/>
      <c r="AH69" s="198"/>
      <c r="AI69" s="198"/>
      <c r="AJ69" s="198"/>
    </row>
    <row r="70" spans="1:36" s="199" customFormat="1" ht="15.75" x14ac:dyDescent="0.25">
      <c r="A70" s="412"/>
      <c r="B70" s="412"/>
      <c r="C70" s="412"/>
      <c r="D70" s="412"/>
      <c r="E70" s="412"/>
      <c r="F70" s="412"/>
      <c r="G70" s="412"/>
      <c r="H70" s="412"/>
      <c r="I70" s="413"/>
      <c r="J70" s="413"/>
      <c r="K70" s="413"/>
      <c r="L70" s="414"/>
      <c r="M70" s="412"/>
      <c r="N70" s="412"/>
      <c r="O70" s="412"/>
      <c r="P70" s="412"/>
      <c r="Q70" s="412"/>
      <c r="R70" s="412"/>
      <c r="S70" s="412"/>
      <c r="T70" s="412"/>
      <c r="U70" s="413"/>
      <c r="V70" s="413"/>
      <c r="W70" s="413"/>
      <c r="X70" s="413"/>
      <c r="Y70" s="198"/>
      <c r="Z70" s="198"/>
      <c r="AA70" s="198"/>
      <c r="AB70" s="198"/>
      <c r="AC70" s="198"/>
      <c r="AD70" s="198"/>
      <c r="AE70" s="198"/>
      <c r="AF70" s="198"/>
      <c r="AG70" s="198"/>
      <c r="AH70" s="198"/>
      <c r="AI70" s="198"/>
      <c r="AJ70" s="198"/>
    </row>
    <row r="71" spans="1:36" s="199" customFormat="1" ht="15.75" x14ac:dyDescent="0.25">
      <c r="A71" s="412"/>
      <c r="B71" s="412"/>
      <c r="C71" s="412"/>
      <c r="D71" s="412"/>
      <c r="E71" s="412"/>
      <c r="F71" s="412"/>
      <c r="G71" s="412"/>
      <c r="H71" s="412"/>
      <c r="I71" s="413"/>
      <c r="J71" s="413"/>
      <c r="K71" s="413"/>
      <c r="L71" s="414"/>
      <c r="M71" s="412"/>
      <c r="N71" s="412"/>
      <c r="O71" s="412"/>
      <c r="P71" s="412"/>
      <c r="Q71" s="412"/>
      <c r="R71" s="412"/>
      <c r="S71" s="412"/>
      <c r="T71" s="412"/>
      <c r="U71" s="413"/>
      <c r="V71" s="413"/>
      <c r="W71" s="413"/>
      <c r="X71" s="413"/>
      <c r="Y71" s="198"/>
      <c r="Z71" s="198"/>
      <c r="AA71" s="198"/>
      <c r="AB71" s="198"/>
      <c r="AC71" s="198"/>
      <c r="AD71" s="198"/>
      <c r="AE71" s="198"/>
      <c r="AF71" s="198"/>
      <c r="AG71" s="198"/>
      <c r="AH71" s="198"/>
      <c r="AI71" s="198"/>
      <c r="AJ71" s="198"/>
    </row>
    <row r="72" spans="1:36" ht="15.75" x14ac:dyDescent="0.25">
      <c r="A72" s="412"/>
      <c r="B72" s="412"/>
      <c r="C72" s="412"/>
      <c r="D72" s="412"/>
      <c r="E72" s="412"/>
      <c r="F72" s="412"/>
      <c r="G72" s="412"/>
      <c r="H72" s="412"/>
      <c r="I72" s="413"/>
      <c r="J72" s="413"/>
      <c r="K72" s="413"/>
      <c r="L72" s="414"/>
      <c r="M72" s="412"/>
      <c r="N72" s="412"/>
      <c r="O72" s="412"/>
      <c r="P72" s="412"/>
      <c r="Q72" s="412"/>
      <c r="R72" s="412"/>
      <c r="S72" s="412"/>
      <c r="T72" s="412"/>
      <c r="U72" s="413"/>
      <c r="V72" s="413"/>
      <c r="W72" s="413"/>
      <c r="X72" s="413"/>
    </row>
  </sheetData>
  <mergeCells count="72">
    <mergeCell ref="D64:H64"/>
    <mergeCell ref="D65:H65"/>
    <mergeCell ref="A36:H36"/>
    <mergeCell ref="I36:K36"/>
    <mergeCell ref="L36:S36"/>
    <mergeCell ref="D61:H61"/>
    <mergeCell ref="D62:H62"/>
    <mergeCell ref="D63:H63"/>
    <mergeCell ref="AI34:AI35"/>
    <mergeCell ref="AW34:AW35"/>
    <mergeCell ref="AL34:AL35"/>
    <mergeCell ref="AM34:AM35"/>
    <mergeCell ref="AN34:AN35"/>
    <mergeCell ref="AO34:AO35"/>
    <mergeCell ref="AP34:AP35"/>
    <mergeCell ref="AQ34:AQ35"/>
    <mergeCell ref="AR34:AR35"/>
    <mergeCell ref="AS34:AS35"/>
    <mergeCell ref="AT34:AT35"/>
    <mergeCell ref="AU34:AU35"/>
    <mergeCell ref="AV34:AV35"/>
    <mergeCell ref="Y31:AJ33"/>
    <mergeCell ref="AK31:AK35"/>
    <mergeCell ref="AL31:AW33"/>
    <mergeCell ref="AX31:AX35"/>
    <mergeCell ref="AY31:AY35"/>
    <mergeCell ref="AJ34:AJ35"/>
    <mergeCell ref="Y34:Y35"/>
    <mergeCell ref="Z34:Z35"/>
    <mergeCell ref="AA34:AA35"/>
    <mergeCell ref="AB34:AB35"/>
    <mergeCell ref="AC34:AC35"/>
    <mergeCell ref="AD34:AD35"/>
    <mergeCell ref="AE34:AE35"/>
    <mergeCell ref="AF34:AF35"/>
    <mergeCell ref="AG34:AG35"/>
    <mergeCell ref="AH34:AH35"/>
    <mergeCell ref="A24:I24"/>
    <mergeCell ref="A28:I28"/>
    <mergeCell ref="A29:X29"/>
    <mergeCell ref="A30:X30"/>
    <mergeCell ref="A31:H35"/>
    <mergeCell ref="I31:K35"/>
    <mergeCell ref="L31:V32"/>
    <mergeCell ref="W31:W33"/>
    <mergeCell ref="X31:X35"/>
    <mergeCell ref="L33:S35"/>
    <mergeCell ref="T33:T35"/>
    <mergeCell ref="U33:U35"/>
    <mergeCell ref="V33:V35"/>
    <mergeCell ref="W34:W35"/>
    <mergeCell ref="V23:X23"/>
    <mergeCell ref="A14:I14"/>
    <mergeCell ref="J14:U14"/>
    <mergeCell ref="V14:X14"/>
    <mergeCell ref="A15:I15"/>
    <mergeCell ref="A16:I19"/>
    <mergeCell ref="V16:X16"/>
    <mergeCell ref="V17:X17"/>
    <mergeCell ref="V18:X18"/>
    <mergeCell ref="V19:X19"/>
    <mergeCell ref="A20:I20"/>
    <mergeCell ref="V20:X20"/>
    <mergeCell ref="V21:X21"/>
    <mergeCell ref="K22:U22"/>
    <mergeCell ref="V22:X22"/>
    <mergeCell ref="A13:X13"/>
    <mergeCell ref="V3:X3"/>
    <mergeCell ref="A5:X5"/>
    <mergeCell ref="A6:X6"/>
    <mergeCell ref="A7:I7"/>
    <mergeCell ref="A9:I9"/>
  </mergeCells>
  <pageMargins left="0.85" right="0" top="1" bottom="1.5" header="0.42" footer="0.31"/>
  <pageSetup paperSize="124" scale="57" orientation="portrait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D0552-87BF-441F-9D0B-37D9D5A95BD0}">
  <dimension ref="A1:AY60"/>
  <sheetViews>
    <sheetView showGridLines="0" topLeftCell="J34" zoomScale="80" zoomScaleNormal="80" zoomScaleSheetLayoutView="70" zoomScalePageLayoutView="40" workbookViewId="0">
      <selection activeCell="Z51" sqref="Z51:AA51"/>
    </sheetView>
  </sheetViews>
  <sheetFormatPr defaultColWidth="9.140625" defaultRowHeight="12.75" x14ac:dyDescent="0.2"/>
  <cols>
    <col min="1" max="6" width="3.7109375" style="415" customWidth="1"/>
    <col min="7" max="7" width="5.85546875" style="415" bestFit="1" customWidth="1"/>
    <col min="8" max="8" width="3.7109375" style="415" customWidth="1"/>
    <col min="9" max="9" width="2" style="176" customWidth="1"/>
    <col min="10" max="10" width="3.140625" style="176" customWidth="1"/>
    <col min="11" max="11" width="37.140625" style="176" customWidth="1"/>
    <col min="12" max="12" width="4.140625" style="416" customWidth="1"/>
    <col min="13" max="15" width="4" style="415" customWidth="1"/>
    <col min="16" max="16" width="6.5703125" style="415" bestFit="1" customWidth="1"/>
    <col min="17" max="18" width="4" style="415" customWidth="1"/>
    <col min="19" max="19" width="6.7109375" style="415" bestFit="1" customWidth="1"/>
    <col min="20" max="20" width="8.5703125" style="415" customWidth="1"/>
    <col min="21" max="21" width="9.28515625" style="176" customWidth="1"/>
    <col min="22" max="22" width="12.140625" style="176" customWidth="1"/>
    <col min="23" max="23" width="13.7109375" style="176" customWidth="1"/>
    <col min="24" max="24" width="9.5703125" style="176" customWidth="1"/>
    <col min="25" max="25" width="11.28515625" style="175" customWidth="1"/>
    <col min="26" max="26" width="8" style="175" customWidth="1"/>
    <col min="27" max="29" width="9.28515625" style="175" bestFit="1" customWidth="1"/>
    <col min="30" max="30" width="10.28515625" style="175" bestFit="1" customWidth="1"/>
    <col min="31" max="31" width="9.28515625" style="175" bestFit="1" customWidth="1"/>
    <col min="32" max="34" width="8" style="175" customWidth="1"/>
    <col min="35" max="35" width="9.28515625" style="175" bestFit="1" customWidth="1"/>
    <col min="36" max="36" width="8" style="175" customWidth="1"/>
    <col min="37" max="37" width="11.42578125" style="176" customWidth="1"/>
    <col min="38" max="50" width="9.140625" style="176"/>
    <col min="51" max="51" width="10.28515625" style="176" bestFit="1" customWidth="1"/>
    <col min="52" max="16384" width="9.140625" style="176"/>
  </cols>
  <sheetData>
    <row r="1" spans="1:36" ht="14.25" customHeight="1" x14ac:dyDescent="0.2">
      <c r="A1" s="169"/>
      <c r="B1" s="170"/>
      <c r="C1" s="170"/>
      <c r="D1" s="170"/>
      <c r="E1" s="170"/>
      <c r="F1" s="170"/>
      <c r="G1" s="170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2"/>
      <c r="U1" s="171"/>
      <c r="V1" s="173"/>
      <c r="W1" s="171"/>
      <c r="X1" s="174"/>
    </row>
    <row r="2" spans="1:36" ht="18.75" customHeight="1" x14ac:dyDescent="0.4">
      <c r="A2" s="177"/>
      <c r="B2" s="178"/>
      <c r="C2" s="178"/>
      <c r="D2" s="178"/>
      <c r="E2" s="178"/>
      <c r="F2" s="178"/>
      <c r="G2" s="178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80"/>
      <c r="U2" s="179"/>
      <c r="V2" s="181"/>
      <c r="W2" s="179"/>
      <c r="X2" s="182"/>
    </row>
    <row r="3" spans="1:36" ht="24.75" customHeight="1" x14ac:dyDescent="0.2">
      <c r="A3" s="183"/>
      <c r="B3" s="184"/>
      <c r="C3" s="184"/>
      <c r="D3" s="184"/>
      <c r="E3" s="184"/>
      <c r="F3" s="184"/>
      <c r="G3" s="184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6"/>
      <c r="U3" s="185"/>
      <c r="V3" s="562" t="s">
        <v>21</v>
      </c>
      <c r="W3" s="563"/>
      <c r="X3" s="564"/>
    </row>
    <row r="4" spans="1:36" ht="32.25" customHeight="1" thickBot="1" x14ac:dyDescent="0.25">
      <c r="A4" s="187"/>
      <c r="B4" s="188"/>
      <c r="C4" s="188"/>
      <c r="D4" s="188"/>
      <c r="E4" s="188"/>
      <c r="F4" s="188"/>
      <c r="G4" s="188"/>
      <c r="H4" s="189"/>
      <c r="I4" s="189"/>
      <c r="J4" s="189"/>
      <c r="K4" s="190"/>
      <c r="L4" s="189"/>
      <c r="M4" s="189"/>
      <c r="N4" s="189"/>
      <c r="O4" s="189"/>
      <c r="P4" s="189"/>
      <c r="Q4" s="189"/>
      <c r="R4" s="189"/>
      <c r="S4" s="189"/>
      <c r="T4" s="190"/>
      <c r="U4" s="189"/>
      <c r="V4" s="191"/>
      <c r="W4" s="192">
        <v>1</v>
      </c>
      <c r="X4" s="193"/>
    </row>
    <row r="5" spans="1:36" ht="21" customHeight="1" x14ac:dyDescent="0.2">
      <c r="A5" s="565" t="s">
        <v>1</v>
      </c>
      <c r="B5" s="566"/>
      <c r="C5" s="566"/>
      <c r="D5" s="566"/>
      <c r="E5" s="566"/>
      <c r="F5" s="566"/>
      <c r="G5" s="566"/>
      <c r="H5" s="566"/>
      <c r="I5" s="566"/>
      <c r="J5" s="566"/>
      <c r="K5" s="566"/>
      <c r="L5" s="566"/>
      <c r="M5" s="566"/>
      <c r="N5" s="566"/>
      <c r="O5" s="566"/>
      <c r="P5" s="566"/>
      <c r="Q5" s="566"/>
      <c r="R5" s="566"/>
      <c r="S5" s="566"/>
      <c r="T5" s="566"/>
      <c r="U5" s="566"/>
      <c r="V5" s="566"/>
      <c r="W5" s="566"/>
      <c r="X5" s="567"/>
    </row>
    <row r="6" spans="1:36" ht="21" customHeight="1" x14ac:dyDescent="0.2">
      <c r="A6" s="568" t="s">
        <v>836</v>
      </c>
      <c r="B6" s="569"/>
      <c r="C6" s="569"/>
      <c r="D6" s="569"/>
      <c r="E6" s="569"/>
      <c r="F6" s="569"/>
      <c r="G6" s="569"/>
      <c r="H6" s="569"/>
      <c r="I6" s="569"/>
      <c r="J6" s="569"/>
      <c r="K6" s="569"/>
      <c r="L6" s="569"/>
      <c r="M6" s="569"/>
      <c r="N6" s="569"/>
      <c r="O6" s="569"/>
      <c r="P6" s="569"/>
      <c r="Q6" s="569"/>
      <c r="R6" s="569"/>
      <c r="S6" s="569"/>
      <c r="T6" s="569"/>
      <c r="U6" s="569"/>
      <c r="V6" s="569"/>
      <c r="W6" s="569"/>
      <c r="X6" s="570"/>
    </row>
    <row r="7" spans="1:36" s="199" customFormat="1" ht="15" customHeight="1" x14ac:dyDescent="0.25">
      <c r="A7" s="571" t="s">
        <v>45</v>
      </c>
      <c r="B7" s="572"/>
      <c r="C7" s="572"/>
      <c r="D7" s="572"/>
      <c r="E7" s="572"/>
      <c r="F7" s="572"/>
      <c r="G7" s="572"/>
      <c r="H7" s="572"/>
      <c r="I7" s="572"/>
      <c r="J7" s="195" t="s">
        <v>113</v>
      </c>
      <c r="K7" s="196" t="s">
        <v>114</v>
      </c>
      <c r="L7" s="196"/>
      <c r="M7" s="196"/>
      <c r="N7" s="196"/>
      <c r="O7" s="196"/>
      <c r="P7" s="196"/>
      <c r="Q7" s="196"/>
      <c r="R7" s="196"/>
      <c r="S7" s="196"/>
      <c r="T7" s="196"/>
      <c r="U7" s="196"/>
      <c r="V7" s="196"/>
      <c r="W7" s="196"/>
      <c r="X7" s="197"/>
      <c r="Y7" s="198"/>
      <c r="Z7" s="198"/>
      <c r="AA7" s="198"/>
      <c r="AB7" s="198"/>
      <c r="AC7" s="198"/>
      <c r="AD7" s="198"/>
      <c r="AE7" s="198"/>
      <c r="AF7" s="198"/>
      <c r="AG7" s="198"/>
      <c r="AH7" s="198"/>
      <c r="AI7" s="198"/>
      <c r="AJ7" s="198"/>
    </row>
    <row r="8" spans="1:36" s="199" customFormat="1" ht="15" customHeight="1" x14ac:dyDescent="0.25">
      <c r="A8" s="194" t="s">
        <v>115</v>
      </c>
      <c r="B8" s="195"/>
      <c r="C8" s="195"/>
      <c r="D8" s="195"/>
      <c r="E8" s="195"/>
      <c r="F8" s="195"/>
      <c r="G8" s="195"/>
      <c r="H8" s="195"/>
      <c r="I8" s="195"/>
      <c r="J8" s="195" t="s">
        <v>113</v>
      </c>
      <c r="K8" s="200" t="s">
        <v>554</v>
      </c>
      <c r="L8" s="200"/>
      <c r="T8" s="200"/>
      <c r="U8" s="200"/>
      <c r="V8" s="200"/>
      <c r="W8" s="200"/>
      <c r="X8" s="201"/>
      <c r="Y8" s="198"/>
      <c r="Z8" s="198"/>
      <c r="AA8" s="198"/>
      <c r="AB8" s="198"/>
      <c r="AC8" s="198"/>
      <c r="AD8" s="198"/>
      <c r="AE8" s="198"/>
      <c r="AF8" s="198"/>
      <c r="AG8" s="198"/>
      <c r="AH8" s="198"/>
      <c r="AI8" s="198"/>
      <c r="AJ8" s="198"/>
    </row>
    <row r="9" spans="1:36" s="199" customFormat="1" ht="15" customHeight="1" x14ac:dyDescent="0.25">
      <c r="A9" s="573" t="s">
        <v>116</v>
      </c>
      <c r="B9" s="574"/>
      <c r="C9" s="574"/>
      <c r="D9" s="574"/>
      <c r="E9" s="574"/>
      <c r="F9" s="574"/>
      <c r="G9" s="574"/>
      <c r="H9" s="574"/>
      <c r="I9" s="574"/>
      <c r="J9" s="203" t="s">
        <v>113</v>
      </c>
      <c r="K9" s="204" t="s">
        <v>555</v>
      </c>
      <c r="L9" s="196"/>
      <c r="M9" s="204"/>
      <c r="N9" s="204"/>
      <c r="O9" s="204"/>
      <c r="P9" s="204"/>
      <c r="Q9" s="204"/>
      <c r="R9" s="204"/>
      <c r="S9" s="204"/>
      <c r="T9" s="196"/>
      <c r="U9" s="196"/>
      <c r="V9" s="196"/>
      <c r="W9" s="196"/>
      <c r="X9" s="197"/>
      <c r="Y9" s="198"/>
      <c r="Z9" s="198"/>
      <c r="AA9" s="198"/>
      <c r="AB9" s="198"/>
      <c r="AC9" s="198"/>
      <c r="AD9" s="198"/>
      <c r="AE9" s="198"/>
      <c r="AF9" s="198"/>
      <c r="AG9" s="198"/>
      <c r="AH9" s="198"/>
      <c r="AI9" s="198"/>
      <c r="AJ9" s="198"/>
    </row>
    <row r="10" spans="1:36" s="199" customFormat="1" ht="14.25" customHeight="1" x14ac:dyDescent="0.25">
      <c r="A10" s="202" t="s">
        <v>117</v>
      </c>
      <c r="B10" s="203"/>
      <c r="C10" s="205"/>
      <c r="D10" s="205"/>
      <c r="E10" s="205"/>
      <c r="F10" s="205"/>
      <c r="G10" s="205"/>
      <c r="H10" s="205"/>
      <c r="I10" s="203"/>
      <c r="J10" s="195" t="s">
        <v>113</v>
      </c>
      <c r="K10" s="206" t="s">
        <v>689</v>
      </c>
      <c r="L10" s="196"/>
      <c r="M10" s="196"/>
      <c r="N10" s="196"/>
      <c r="O10" s="196"/>
      <c r="P10" s="196"/>
      <c r="Q10" s="196"/>
      <c r="R10" s="196"/>
      <c r="S10" s="196"/>
      <c r="T10" s="207"/>
      <c r="U10" s="196"/>
      <c r="V10" s="196"/>
      <c r="W10" s="196"/>
      <c r="X10" s="197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</row>
    <row r="11" spans="1:36" s="199" customFormat="1" ht="14.25" customHeight="1" x14ac:dyDescent="0.25">
      <c r="A11" s="208" t="s">
        <v>118</v>
      </c>
      <c r="B11" s="209"/>
      <c r="C11" s="210"/>
      <c r="D11" s="210"/>
      <c r="E11" s="210"/>
      <c r="F11" s="210"/>
      <c r="G11" s="210"/>
      <c r="H11" s="210"/>
      <c r="I11" s="209"/>
      <c r="J11" s="195" t="s">
        <v>119</v>
      </c>
      <c r="K11" s="206" t="s">
        <v>114</v>
      </c>
      <c r="L11" s="211"/>
      <c r="M11" s="211"/>
      <c r="N11" s="211"/>
      <c r="O11" s="211"/>
      <c r="P11" s="211"/>
      <c r="Q11" s="211"/>
      <c r="R11" s="211"/>
      <c r="S11" s="211"/>
      <c r="T11" s="212"/>
      <c r="U11" s="211"/>
      <c r="V11" s="211"/>
      <c r="W11" s="211"/>
      <c r="X11" s="213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</row>
    <row r="12" spans="1:36" s="199" customFormat="1" ht="15.75" x14ac:dyDescent="0.25">
      <c r="A12" s="208" t="s">
        <v>120</v>
      </c>
      <c r="B12" s="209"/>
      <c r="C12" s="210"/>
      <c r="D12" s="210"/>
      <c r="E12" s="210"/>
      <c r="F12" s="210"/>
      <c r="G12" s="210"/>
      <c r="H12" s="210"/>
      <c r="I12" s="209"/>
      <c r="J12" s="195" t="s">
        <v>113</v>
      </c>
      <c r="K12" s="214" t="s">
        <v>690</v>
      </c>
      <c r="L12" s="211"/>
      <c r="M12" s="211"/>
      <c r="N12" s="211"/>
      <c r="O12" s="211"/>
      <c r="P12" s="211"/>
      <c r="Q12" s="211"/>
      <c r="R12" s="211"/>
      <c r="S12" s="211"/>
      <c r="T12" s="212"/>
      <c r="U12" s="211"/>
      <c r="V12" s="211"/>
      <c r="W12" s="211"/>
      <c r="X12" s="213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</row>
    <row r="13" spans="1:36" s="199" customFormat="1" ht="18" customHeight="1" x14ac:dyDescent="0.25">
      <c r="A13" s="559" t="s">
        <v>121</v>
      </c>
      <c r="B13" s="560"/>
      <c r="C13" s="560"/>
      <c r="D13" s="560"/>
      <c r="E13" s="560"/>
      <c r="F13" s="560"/>
      <c r="G13" s="560"/>
      <c r="H13" s="560"/>
      <c r="I13" s="560"/>
      <c r="J13" s="560"/>
      <c r="K13" s="560"/>
      <c r="L13" s="560"/>
      <c r="M13" s="560"/>
      <c r="N13" s="560"/>
      <c r="O13" s="560"/>
      <c r="P13" s="560"/>
      <c r="Q13" s="560"/>
      <c r="R13" s="560"/>
      <c r="S13" s="560"/>
      <c r="T13" s="560"/>
      <c r="U13" s="560"/>
      <c r="V13" s="560"/>
      <c r="W13" s="560"/>
      <c r="X13" s="561"/>
    </row>
    <row r="14" spans="1:36" s="199" customFormat="1" ht="15.75" x14ac:dyDescent="0.25">
      <c r="A14" s="578" t="s">
        <v>122</v>
      </c>
      <c r="B14" s="579"/>
      <c r="C14" s="579"/>
      <c r="D14" s="579"/>
      <c r="E14" s="579"/>
      <c r="F14" s="579"/>
      <c r="G14" s="579"/>
      <c r="H14" s="579"/>
      <c r="I14" s="580"/>
      <c r="J14" s="581" t="s">
        <v>123</v>
      </c>
      <c r="K14" s="579"/>
      <c r="L14" s="579"/>
      <c r="M14" s="579"/>
      <c r="N14" s="579"/>
      <c r="O14" s="579"/>
      <c r="P14" s="579"/>
      <c r="Q14" s="579"/>
      <c r="R14" s="579"/>
      <c r="S14" s="579"/>
      <c r="T14" s="579"/>
      <c r="U14" s="579"/>
      <c r="V14" s="581" t="s">
        <v>124</v>
      </c>
      <c r="W14" s="579"/>
      <c r="X14" s="582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</row>
    <row r="15" spans="1:36" s="199" customFormat="1" ht="17.25" customHeight="1" x14ac:dyDescent="0.25">
      <c r="A15" s="573" t="s">
        <v>125</v>
      </c>
      <c r="B15" s="574"/>
      <c r="C15" s="574"/>
      <c r="D15" s="574"/>
      <c r="E15" s="574"/>
      <c r="F15" s="574"/>
      <c r="G15" s="574"/>
      <c r="H15" s="574"/>
      <c r="I15" s="583"/>
      <c r="J15" s="203" t="s">
        <v>119</v>
      </c>
      <c r="K15" s="200"/>
      <c r="L15" s="196"/>
      <c r="M15" s="196"/>
      <c r="N15" s="196"/>
      <c r="O15" s="196"/>
      <c r="P15" s="196"/>
      <c r="Q15" s="196"/>
      <c r="R15" s="196"/>
      <c r="S15" s="196"/>
      <c r="T15" s="207"/>
      <c r="U15" s="196"/>
      <c r="V15" s="215"/>
      <c r="W15" s="196"/>
      <c r="X15" s="197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</row>
    <row r="16" spans="1:36" s="199" customFormat="1" ht="15.75" customHeight="1" x14ac:dyDescent="0.25">
      <c r="A16" s="571" t="s">
        <v>126</v>
      </c>
      <c r="B16" s="572"/>
      <c r="C16" s="572"/>
      <c r="D16" s="572"/>
      <c r="E16" s="572"/>
      <c r="F16" s="572"/>
      <c r="G16" s="572"/>
      <c r="H16" s="572"/>
      <c r="I16" s="584"/>
      <c r="J16" s="216" t="s">
        <v>119</v>
      </c>
      <c r="K16" s="217" t="s">
        <v>127</v>
      </c>
      <c r="L16" s="217"/>
      <c r="M16" s="217"/>
      <c r="N16" s="217"/>
      <c r="O16" s="217"/>
      <c r="P16" s="217"/>
      <c r="Q16" s="217"/>
      <c r="R16" s="217"/>
      <c r="S16" s="217"/>
      <c r="T16" s="218"/>
      <c r="U16" s="217"/>
      <c r="V16" s="591"/>
      <c r="W16" s="592"/>
      <c r="X16" s="593"/>
      <c r="Y16" s="198"/>
      <c r="Z16" s="198"/>
      <c r="AA16" s="198"/>
      <c r="AB16" s="198"/>
      <c r="AC16" s="198"/>
      <c r="AD16" s="198"/>
      <c r="AE16" s="198"/>
      <c r="AF16" s="198"/>
      <c r="AG16" s="198"/>
      <c r="AH16" s="198"/>
      <c r="AI16" s="198"/>
      <c r="AJ16" s="198"/>
    </row>
    <row r="17" spans="1:51" s="199" customFormat="1" ht="15.75" customHeight="1" x14ac:dyDescent="0.25">
      <c r="A17" s="585"/>
      <c r="B17" s="586"/>
      <c r="C17" s="586"/>
      <c r="D17" s="586"/>
      <c r="E17" s="586"/>
      <c r="F17" s="586"/>
      <c r="G17" s="586"/>
      <c r="H17" s="586"/>
      <c r="I17" s="587"/>
      <c r="J17" s="222" t="s">
        <v>119</v>
      </c>
      <c r="K17" s="223" t="s">
        <v>128</v>
      </c>
      <c r="L17" s="223"/>
      <c r="M17" s="223"/>
      <c r="N17" s="223"/>
      <c r="O17" s="223"/>
      <c r="P17" s="223"/>
      <c r="Q17" s="223"/>
      <c r="R17" s="223"/>
      <c r="S17" s="223"/>
      <c r="T17" s="224"/>
      <c r="U17" s="223"/>
      <c r="V17" s="594"/>
      <c r="W17" s="595"/>
      <c r="X17" s="596"/>
      <c r="Y17" s="198"/>
      <c r="Z17" s="198"/>
      <c r="AA17" s="198"/>
      <c r="AB17" s="198"/>
      <c r="AC17" s="198"/>
      <c r="AD17" s="198"/>
      <c r="AE17" s="198"/>
      <c r="AF17" s="198"/>
      <c r="AG17" s="198"/>
      <c r="AH17" s="198"/>
      <c r="AI17" s="198"/>
      <c r="AJ17" s="198"/>
    </row>
    <row r="18" spans="1:51" s="199" customFormat="1" ht="13.5" customHeight="1" x14ac:dyDescent="0.25">
      <c r="A18" s="585"/>
      <c r="B18" s="586"/>
      <c r="C18" s="586"/>
      <c r="D18" s="586"/>
      <c r="E18" s="586"/>
      <c r="F18" s="586"/>
      <c r="G18" s="586"/>
      <c r="H18" s="586"/>
      <c r="I18" s="587"/>
      <c r="J18" s="222" t="s">
        <v>119</v>
      </c>
      <c r="K18" s="223" t="s">
        <v>129</v>
      </c>
      <c r="L18" s="223"/>
      <c r="M18" s="223"/>
      <c r="N18" s="223"/>
      <c r="O18" s="223"/>
      <c r="P18" s="223"/>
      <c r="Q18" s="223"/>
      <c r="R18" s="223"/>
      <c r="S18" s="223"/>
      <c r="T18" s="224"/>
      <c r="U18" s="223"/>
      <c r="V18" s="594"/>
      <c r="W18" s="595"/>
      <c r="X18" s="596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</row>
    <row r="19" spans="1:51" s="199" customFormat="1" ht="15.75" customHeight="1" x14ac:dyDescent="0.25">
      <c r="A19" s="588"/>
      <c r="B19" s="589"/>
      <c r="C19" s="589"/>
      <c r="D19" s="589"/>
      <c r="E19" s="589"/>
      <c r="F19" s="589"/>
      <c r="G19" s="589"/>
      <c r="H19" s="589"/>
      <c r="I19" s="590"/>
      <c r="J19" s="226" t="s">
        <v>119</v>
      </c>
      <c r="K19" s="211" t="s">
        <v>130</v>
      </c>
      <c r="L19" s="211"/>
      <c r="M19" s="211"/>
      <c r="N19" s="211"/>
      <c r="O19" s="211"/>
      <c r="P19" s="211"/>
      <c r="Q19" s="211"/>
      <c r="R19" s="211"/>
      <c r="S19" s="211"/>
      <c r="T19" s="212"/>
      <c r="U19" s="211"/>
      <c r="V19" s="597"/>
      <c r="W19" s="598"/>
      <c r="X19" s="599"/>
      <c r="Y19" s="198"/>
      <c r="Z19" s="198"/>
      <c r="AA19" s="198"/>
      <c r="AB19" s="198"/>
      <c r="AC19" s="198"/>
      <c r="AD19" s="198"/>
      <c r="AE19" s="198"/>
      <c r="AF19" s="198"/>
      <c r="AG19" s="198"/>
      <c r="AH19" s="198"/>
      <c r="AI19" s="198"/>
      <c r="AJ19" s="198"/>
    </row>
    <row r="20" spans="1:51" s="199" customFormat="1" ht="15.75" customHeight="1" x14ac:dyDescent="0.25">
      <c r="A20" s="585" t="s">
        <v>131</v>
      </c>
      <c r="B20" s="586"/>
      <c r="C20" s="586"/>
      <c r="D20" s="586"/>
      <c r="E20" s="586"/>
      <c r="F20" s="586"/>
      <c r="G20" s="586"/>
      <c r="H20" s="586"/>
      <c r="I20" s="587"/>
      <c r="J20" s="220" t="s">
        <v>119</v>
      </c>
      <c r="K20" s="200" t="s">
        <v>557</v>
      </c>
      <c r="L20" s="196"/>
      <c r="M20" s="196"/>
      <c r="N20" s="196"/>
      <c r="O20" s="196"/>
      <c r="P20" s="196"/>
      <c r="Q20" s="196"/>
      <c r="R20" s="196"/>
      <c r="S20" s="196"/>
      <c r="T20" s="207"/>
      <c r="U20" s="196"/>
      <c r="V20" s="575"/>
      <c r="W20" s="576"/>
      <c r="X20" s="577"/>
      <c r="Y20" s="198"/>
      <c r="Z20" s="198"/>
      <c r="AA20" s="198"/>
      <c r="AB20" s="198"/>
      <c r="AC20" s="198"/>
      <c r="AD20" s="198"/>
      <c r="AE20" s="198"/>
      <c r="AF20" s="198"/>
      <c r="AG20" s="198"/>
      <c r="AH20" s="198"/>
      <c r="AI20" s="198"/>
      <c r="AJ20" s="198"/>
    </row>
    <row r="21" spans="1:51" s="199" customFormat="1" ht="15.75" customHeight="1" x14ac:dyDescent="0.25">
      <c r="A21" s="219"/>
      <c r="B21" s="220"/>
      <c r="C21" s="220"/>
      <c r="D21" s="220"/>
      <c r="E21" s="220"/>
      <c r="F21" s="220"/>
      <c r="G21" s="220"/>
      <c r="H21" s="220"/>
      <c r="I21" s="221"/>
      <c r="J21" s="229"/>
      <c r="K21" s="200"/>
      <c r="L21" s="196"/>
      <c r="M21" s="196"/>
      <c r="N21" s="196"/>
      <c r="O21" s="196"/>
      <c r="P21" s="196"/>
      <c r="Q21" s="196"/>
      <c r="R21" s="196"/>
      <c r="S21" s="196"/>
      <c r="T21" s="207"/>
      <c r="U21" s="196"/>
      <c r="V21" s="575"/>
      <c r="W21" s="576"/>
      <c r="X21" s="577"/>
      <c r="Y21" s="198"/>
      <c r="Z21" s="198"/>
      <c r="AA21" s="198"/>
      <c r="AB21" s="198"/>
      <c r="AC21" s="198"/>
      <c r="AD21" s="198"/>
      <c r="AE21" s="198"/>
      <c r="AF21" s="198"/>
      <c r="AG21" s="198"/>
      <c r="AH21" s="198"/>
      <c r="AI21" s="198"/>
      <c r="AJ21" s="198"/>
    </row>
    <row r="22" spans="1:51" s="199" customFormat="1" ht="15.75" x14ac:dyDescent="0.25">
      <c r="A22" s="219"/>
      <c r="B22" s="220"/>
      <c r="C22" s="220"/>
      <c r="D22" s="220"/>
      <c r="E22" s="220"/>
      <c r="F22" s="220"/>
      <c r="G22" s="220"/>
      <c r="H22" s="220"/>
      <c r="I22" s="221"/>
      <c r="J22" s="229"/>
      <c r="K22" s="600"/>
      <c r="L22" s="600"/>
      <c r="M22" s="600"/>
      <c r="N22" s="600"/>
      <c r="O22" s="600"/>
      <c r="P22" s="600"/>
      <c r="Q22" s="600"/>
      <c r="R22" s="600"/>
      <c r="S22" s="600"/>
      <c r="T22" s="600"/>
      <c r="U22" s="601"/>
      <c r="V22" s="575"/>
      <c r="W22" s="576"/>
      <c r="X22" s="577"/>
      <c r="Y22" s="198"/>
      <c r="Z22" s="198"/>
      <c r="AA22" s="198"/>
      <c r="AB22" s="198"/>
      <c r="AC22" s="198"/>
      <c r="AD22" s="198"/>
      <c r="AE22" s="198"/>
      <c r="AF22" s="198"/>
      <c r="AG22" s="198"/>
      <c r="AH22" s="198"/>
      <c r="AI22" s="198"/>
      <c r="AJ22" s="198"/>
    </row>
    <row r="23" spans="1:51" s="199" customFormat="1" ht="15.75" customHeight="1" x14ac:dyDescent="0.25">
      <c r="A23" s="219"/>
      <c r="B23" s="220"/>
      <c r="C23" s="220"/>
      <c r="D23" s="220"/>
      <c r="E23" s="220"/>
      <c r="F23" s="220"/>
      <c r="G23" s="220"/>
      <c r="H23" s="220"/>
      <c r="I23" s="221"/>
      <c r="J23" s="229"/>
      <c r="K23" s="204"/>
      <c r="L23" s="211"/>
      <c r="M23" s="211"/>
      <c r="N23" s="211"/>
      <c r="O23" s="211"/>
      <c r="P23" s="211"/>
      <c r="Q23" s="211"/>
      <c r="R23" s="211"/>
      <c r="S23" s="211"/>
      <c r="T23" s="212"/>
      <c r="U23" s="211"/>
      <c r="V23" s="575"/>
      <c r="W23" s="576"/>
      <c r="X23" s="577"/>
      <c r="Y23" s="198"/>
      <c r="Z23" s="198"/>
      <c r="AA23" s="198"/>
      <c r="AB23" s="198"/>
      <c r="AC23" s="198"/>
      <c r="AD23" s="198"/>
      <c r="AE23" s="198"/>
      <c r="AF23" s="198"/>
      <c r="AG23" s="198"/>
      <c r="AH23" s="198"/>
      <c r="AI23" s="198"/>
      <c r="AJ23" s="198"/>
    </row>
    <row r="24" spans="1:51" s="199" customFormat="1" ht="16.5" customHeight="1" x14ac:dyDescent="0.25">
      <c r="A24" s="573" t="s">
        <v>132</v>
      </c>
      <c r="B24" s="574"/>
      <c r="C24" s="574"/>
      <c r="D24" s="574"/>
      <c r="E24" s="574"/>
      <c r="F24" s="574"/>
      <c r="G24" s="574"/>
      <c r="H24" s="574"/>
      <c r="I24" s="583"/>
      <c r="J24" s="203" t="s">
        <v>119</v>
      </c>
      <c r="K24" s="200"/>
      <c r="L24" s="196"/>
      <c r="M24" s="196"/>
      <c r="N24" s="196"/>
      <c r="O24" s="196"/>
      <c r="P24" s="196"/>
      <c r="Q24" s="196"/>
      <c r="R24" s="196"/>
      <c r="S24" s="196"/>
      <c r="T24" s="207"/>
      <c r="U24" s="196"/>
      <c r="V24" s="230"/>
      <c r="W24" s="196"/>
      <c r="X24" s="197"/>
      <c r="Y24" s="198"/>
      <c r="Z24" s="198"/>
      <c r="AA24" s="198"/>
      <c r="AB24" s="198"/>
      <c r="AC24" s="198"/>
      <c r="AD24" s="198"/>
      <c r="AE24" s="198"/>
      <c r="AF24" s="198"/>
      <c r="AG24" s="198"/>
      <c r="AH24" s="198"/>
      <c r="AI24" s="198"/>
      <c r="AJ24" s="198"/>
    </row>
    <row r="25" spans="1:51" s="199" customFormat="1" ht="16.5" customHeight="1" x14ac:dyDescent="0.25">
      <c r="A25" s="208"/>
      <c r="B25" s="209"/>
      <c r="C25" s="209"/>
      <c r="D25" s="209"/>
      <c r="E25" s="209"/>
      <c r="F25" s="209"/>
      <c r="G25" s="209"/>
      <c r="H25" s="209"/>
      <c r="I25" s="225"/>
      <c r="J25" s="209"/>
      <c r="K25" s="200"/>
      <c r="L25" s="211"/>
      <c r="M25" s="211"/>
      <c r="N25" s="211"/>
      <c r="O25" s="211"/>
      <c r="P25" s="211"/>
      <c r="Q25" s="211"/>
      <c r="R25" s="211"/>
      <c r="S25" s="211"/>
      <c r="T25" s="212"/>
      <c r="U25" s="211"/>
      <c r="V25" s="230"/>
      <c r="W25" s="211"/>
      <c r="X25" s="213"/>
      <c r="Y25" s="198"/>
      <c r="Z25" s="198"/>
      <c r="AA25" s="198"/>
      <c r="AB25" s="198"/>
      <c r="AC25" s="198"/>
      <c r="AD25" s="198"/>
      <c r="AE25" s="198"/>
      <c r="AF25" s="198"/>
      <c r="AG25" s="198"/>
      <c r="AH25" s="198"/>
      <c r="AI25" s="198"/>
      <c r="AJ25" s="198"/>
    </row>
    <row r="26" spans="1:51" s="199" customFormat="1" ht="16.5" customHeight="1" x14ac:dyDescent="0.25">
      <c r="A26" s="208"/>
      <c r="B26" s="209"/>
      <c r="C26" s="209"/>
      <c r="D26" s="209"/>
      <c r="E26" s="209"/>
      <c r="F26" s="209"/>
      <c r="G26" s="209"/>
      <c r="H26" s="209"/>
      <c r="I26" s="225"/>
      <c r="J26" s="209"/>
      <c r="K26" s="200"/>
      <c r="L26" s="211"/>
      <c r="M26" s="211"/>
      <c r="N26" s="211"/>
      <c r="O26" s="211"/>
      <c r="P26" s="211"/>
      <c r="Q26" s="211"/>
      <c r="R26" s="211"/>
      <c r="S26" s="211"/>
      <c r="T26" s="212"/>
      <c r="U26" s="211"/>
      <c r="V26" s="230"/>
      <c r="W26" s="211"/>
      <c r="X26" s="213"/>
      <c r="Y26" s="198"/>
      <c r="Z26" s="198"/>
      <c r="AA26" s="198"/>
      <c r="AB26" s="198"/>
      <c r="AC26" s="198"/>
      <c r="AD26" s="198"/>
      <c r="AE26" s="198"/>
      <c r="AF26" s="198"/>
      <c r="AG26" s="198"/>
      <c r="AH26" s="198"/>
      <c r="AI26" s="198"/>
      <c r="AJ26" s="198"/>
    </row>
    <row r="27" spans="1:51" s="199" customFormat="1" ht="16.5" customHeight="1" x14ac:dyDescent="0.25">
      <c r="A27" s="208"/>
      <c r="B27" s="209"/>
      <c r="C27" s="209"/>
      <c r="D27" s="209"/>
      <c r="E27" s="209"/>
      <c r="F27" s="209"/>
      <c r="G27" s="209"/>
      <c r="H27" s="209"/>
      <c r="I27" s="225"/>
      <c r="J27" s="209"/>
      <c r="K27" s="200"/>
      <c r="L27" s="211"/>
      <c r="M27" s="211"/>
      <c r="N27" s="211"/>
      <c r="O27" s="211"/>
      <c r="P27" s="211"/>
      <c r="Q27" s="211"/>
      <c r="R27" s="211"/>
      <c r="S27" s="211"/>
      <c r="T27" s="212"/>
      <c r="U27" s="211"/>
      <c r="V27" s="231"/>
      <c r="W27" s="211"/>
      <c r="X27" s="213"/>
      <c r="Y27" s="198"/>
      <c r="Z27" s="198"/>
      <c r="AA27" s="198"/>
      <c r="AB27" s="198"/>
      <c r="AC27" s="198"/>
      <c r="AD27" s="198"/>
      <c r="AE27" s="198"/>
      <c r="AF27" s="198"/>
      <c r="AG27" s="198"/>
      <c r="AH27" s="198"/>
      <c r="AI27" s="198"/>
      <c r="AJ27" s="198"/>
    </row>
    <row r="28" spans="1:51" s="199" customFormat="1" ht="18.75" customHeight="1" x14ac:dyDescent="0.25">
      <c r="A28" s="602" t="s">
        <v>133</v>
      </c>
      <c r="B28" s="603"/>
      <c r="C28" s="603"/>
      <c r="D28" s="603"/>
      <c r="E28" s="603"/>
      <c r="F28" s="603"/>
      <c r="G28" s="603"/>
      <c r="H28" s="603"/>
      <c r="I28" s="604"/>
      <c r="J28" s="209" t="s">
        <v>119</v>
      </c>
      <c r="K28" s="200"/>
      <c r="L28" s="211"/>
      <c r="M28" s="211"/>
      <c r="N28" s="211"/>
      <c r="O28" s="211"/>
      <c r="P28" s="211"/>
      <c r="Q28" s="211"/>
      <c r="R28" s="211"/>
      <c r="S28" s="211"/>
      <c r="T28" s="212"/>
      <c r="U28" s="211"/>
      <c r="V28" s="200"/>
      <c r="W28" s="232"/>
      <c r="X28" s="233"/>
      <c r="Y28" s="198"/>
      <c r="Z28" s="198"/>
      <c r="AA28" s="198"/>
      <c r="AB28" s="198"/>
      <c r="AC28" s="198"/>
      <c r="AD28" s="198"/>
      <c r="AE28" s="198"/>
      <c r="AF28" s="198"/>
      <c r="AG28" s="198"/>
      <c r="AH28" s="198"/>
      <c r="AI28" s="198"/>
      <c r="AJ28" s="198"/>
    </row>
    <row r="29" spans="1:51" s="199" customFormat="1" ht="15.75" x14ac:dyDescent="0.25">
      <c r="A29" s="605" t="s">
        <v>134</v>
      </c>
      <c r="B29" s="606"/>
      <c r="C29" s="606"/>
      <c r="D29" s="606"/>
      <c r="E29" s="606"/>
      <c r="F29" s="606"/>
      <c r="G29" s="606"/>
      <c r="H29" s="606"/>
      <c r="I29" s="606"/>
      <c r="J29" s="606"/>
      <c r="K29" s="606"/>
      <c r="L29" s="606"/>
      <c r="M29" s="606"/>
      <c r="N29" s="606"/>
      <c r="O29" s="606"/>
      <c r="P29" s="606"/>
      <c r="Q29" s="606"/>
      <c r="R29" s="606"/>
      <c r="S29" s="606"/>
      <c r="T29" s="606"/>
      <c r="U29" s="606"/>
      <c r="V29" s="606"/>
      <c r="W29" s="606"/>
      <c r="X29" s="607"/>
    </row>
    <row r="30" spans="1:51" s="199" customFormat="1" ht="16.5" thickBot="1" x14ac:dyDescent="0.3">
      <c r="A30" s="608" t="s">
        <v>135</v>
      </c>
      <c r="B30" s="609"/>
      <c r="C30" s="609"/>
      <c r="D30" s="609"/>
      <c r="E30" s="609"/>
      <c r="F30" s="609"/>
      <c r="G30" s="609"/>
      <c r="H30" s="609"/>
      <c r="I30" s="609"/>
      <c r="J30" s="609"/>
      <c r="K30" s="609"/>
      <c r="L30" s="609"/>
      <c r="M30" s="609"/>
      <c r="N30" s="609"/>
      <c r="O30" s="609"/>
      <c r="P30" s="609"/>
      <c r="Q30" s="609"/>
      <c r="R30" s="609"/>
      <c r="S30" s="609"/>
      <c r="T30" s="609"/>
      <c r="U30" s="609"/>
      <c r="V30" s="609"/>
      <c r="W30" s="609"/>
      <c r="X30" s="610"/>
    </row>
    <row r="31" spans="1:51" s="199" customFormat="1" ht="10.5" customHeight="1" x14ac:dyDescent="0.25">
      <c r="A31" s="611" t="s">
        <v>136</v>
      </c>
      <c r="B31" s="612"/>
      <c r="C31" s="612"/>
      <c r="D31" s="612"/>
      <c r="E31" s="612"/>
      <c r="F31" s="612"/>
      <c r="G31" s="612"/>
      <c r="H31" s="613"/>
      <c r="I31" s="620" t="s">
        <v>137</v>
      </c>
      <c r="J31" s="612"/>
      <c r="K31" s="613"/>
      <c r="L31" s="620" t="s">
        <v>138</v>
      </c>
      <c r="M31" s="612"/>
      <c r="N31" s="612"/>
      <c r="O31" s="612"/>
      <c r="P31" s="612"/>
      <c r="Q31" s="612"/>
      <c r="R31" s="612"/>
      <c r="S31" s="612"/>
      <c r="T31" s="612"/>
      <c r="U31" s="612"/>
      <c r="V31" s="613"/>
      <c r="W31" s="623" t="s">
        <v>139</v>
      </c>
      <c r="X31" s="625" t="s">
        <v>140</v>
      </c>
      <c r="Y31" s="636" t="s">
        <v>567</v>
      </c>
      <c r="Z31" s="636"/>
      <c r="AA31" s="636"/>
      <c r="AB31" s="636"/>
      <c r="AC31" s="636"/>
      <c r="AD31" s="636"/>
      <c r="AE31" s="636"/>
      <c r="AF31" s="636"/>
      <c r="AG31" s="636"/>
      <c r="AH31" s="636"/>
      <c r="AI31" s="636"/>
      <c r="AJ31" s="637"/>
      <c r="AK31" s="642" t="s">
        <v>139</v>
      </c>
      <c r="AL31" s="645" t="s">
        <v>568</v>
      </c>
      <c r="AM31" s="636"/>
      <c r="AN31" s="636"/>
      <c r="AO31" s="636"/>
      <c r="AP31" s="636"/>
      <c r="AQ31" s="636"/>
      <c r="AR31" s="636"/>
      <c r="AS31" s="636"/>
      <c r="AT31" s="636"/>
      <c r="AU31" s="636"/>
      <c r="AV31" s="636"/>
      <c r="AW31" s="637"/>
      <c r="AX31" s="642" t="s">
        <v>139</v>
      </c>
      <c r="AY31" s="648" t="s">
        <v>141</v>
      </c>
    </row>
    <row r="32" spans="1:51" s="199" customFormat="1" ht="6.75" customHeight="1" x14ac:dyDescent="0.25">
      <c r="A32" s="614"/>
      <c r="B32" s="615"/>
      <c r="C32" s="615"/>
      <c r="D32" s="615"/>
      <c r="E32" s="615"/>
      <c r="F32" s="615"/>
      <c r="G32" s="615"/>
      <c r="H32" s="616"/>
      <c r="I32" s="621"/>
      <c r="J32" s="615"/>
      <c r="K32" s="616"/>
      <c r="L32" s="621"/>
      <c r="M32" s="615"/>
      <c r="N32" s="615"/>
      <c r="O32" s="615"/>
      <c r="P32" s="615"/>
      <c r="Q32" s="615"/>
      <c r="R32" s="615"/>
      <c r="S32" s="615"/>
      <c r="T32" s="615"/>
      <c r="U32" s="615"/>
      <c r="V32" s="616"/>
      <c r="W32" s="624"/>
      <c r="X32" s="626"/>
      <c r="Y32" s="638"/>
      <c r="Z32" s="638"/>
      <c r="AA32" s="638"/>
      <c r="AB32" s="638"/>
      <c r="AC32" s="638"/>
      <c r="AD32" s="638"/>
      <c r="AE32" s="638"/>
      <c r="AF32" s="638"/>
      <c r="AG32" s="638"/>
      <c r="AH32" s="638"/>
      <c r="AI32" s="638"/>
      <c r="AJ32" s="639"/>
      <c r="AK32" s="643"/>
      <c r="AL32" s="646"/>
      <c r="AM32" s="638"/>
      <c r="AN32" s="638"/>
      <c r="AO32" s="638"/>
      <c r="AP32" s="638"/>
      <c r="AQ32" s="638"/>
      <c r="AR32" s="638"/>
      <c r="AS32" s="638"/>
      <c r="AT32" s="638"/>
      <c r="AU32" s="638"/>
      <c r="AV32" s="638"/>
      <c r="AW32" s="639"/>
      <c r="AX32" s="643"/>
      <c r="AY32" s="649"/>
    </row>
    <row r="33" spans="1:51" s="199" customFormat="1" ht="10.5" customHeight="1" thickBot="1" x14ac:dyDescent="0.3">
      <c r="A33" s="614"/>
      <c r="B33" s="615"/>
      <c r="C33" s="615"/>
      <c r="D33" s="615"/>
      <c r="E33" s="615"/>
      <c r="F33" s="615"/>
      <c r="G33" s="615"/>
      <c r="H33" s="616"/>
      <c r="I33" s="621"/>
      <c r="J33" s="615"/>
      <c r="K33" s="616"/>
      <c r="L33" s="628" t="s">
        <v>79</v>
      </c>
      <c r="M33" s="629"/>
      <c r="N33" s="629"/>
      <c r="O33" s="629"/>
      <c r="P33" s="629"/>
      <c r="Q33" s="629"/>
      <c r="R33" s="629"/>
      <c r="S33" s="630"/>
      <c r="T33" s="631" t="s">
        <v>80</v>
      </c>
      <c r="U33" s="631" t="s">
        <v>81</v>
      </c>
      <c r="V33" s="631" t="s">
        <v>82</v>
      </c>
      <c r="W33" s="624"/>
      <c r="X33" s="626"/>
      <c r="Y33" s="640"/>
      <c r="Z33" s="640"/>
      <c r="AA33" s="640"/>
      <c r="AB33" s="640"/>
      <c r="AC33" s="640"/>
      <c r="AD33" s="640"/>
      <c r="AE33" s="640"/>
      <c r="AF33" s="640"/>
      <c r="AG33" s="640"/>
      <c r="AH33" s="640"/>
      <c r="AI33" s="640"/>
      <c r="AJ33" s="641"/>
      <c r="AK33" s="643"/>
      <c r="AL33" s="647"/>
      <c r="AM33" s="640"/>
      <c r="AN33" s="640"/>
      <c r="AO33" s="640"/>
      <c r="AP33" s="640"/>
      <c r="AQ33" s="640"/>
      <c r="AR33" s="640"/>
      <c r="AS33" s="640"/>
      <c r="AT33" s="640"/>
      <c r="AU33" s="640"/>
      <c r="AV33" s="640"/>
      <c r="AW33" s="641"/>
      <c r="AX33" s="643"/>
      <c r="AY33" s="649"/>
    </row>
    <row r="34" spans="1:51" s="199" customFormat="1" ht="8.25" customHeight="1" thickBot="1" x14ac:dyDescent="0.3">
      <c r="A34" s="614"/>
      <c r="B34" s="615"/>
      <c r="C34" s="615"/>
      <c r="D34" s="615"/>
      <c r="E34" s="615"/>
      <c r="F34" s="615"/>
      <c r="G34" s="615"/>
      <c r="H34" s="616"/>
      <c r="I34" s="621"/>
      <c r="J34" s="615"/>
      <c r="K34" s="616"/>
      <c r="L34" s="621"/>
      <c r="M34" s="615"/>
      <c r="N34" s="615"/>
      <c r="O34" s="615"/>
      <c r="P34" s="615"/>
      <c r="Q34" s="615"/>
      <c r="R34" s="615"/>
      <c r="S34" s="616"/>
      <c r="T34" s="632"/>
      <c r="U34" s="632"/>
      <c r="V34" s="632"/>
      <c r="W34" s="634" t="s">
        <v>142</v>
      </c>
      <c r="X34" s="626"/>
      <c r="Y34" s="653" t="s">
        <v>50</v>
      </c>
      <c r="Z34" s="655" t="s">
        <v>53</v>
      </c>
      <c r="AA34" s="655" t="s">
        <v>55</v>
      </c>
      <c r="AB34" s="655" t="s">
        <v>57</v>
      </c>
      <c r="AC34" s="657" t="s">
        <v>59</v>
      </c>
      <c r="AD34" s="657" t="s">
        <v>61</v>
      </c>
      <c r="AE34" s="657" t="s">
        <v>101</v>
      </c>
      <c r="AF34" s="657" t="s">
        <v>107</v>
      </c>
      <c r="AG34" s="651" t="s">
        <v>143</v>
      </c>
      <c r="AH34" s="651" t="s">
        <v>144</v>
      </c>
      <c r="AI34" s="651" t="s">
        <v>145</v>
      </c>
      <c r="AJ34" s="651" t="s">
        <v>146</v>
      </c>
      <c r="AK34" s="643"/>
      <c r="AL34" s="655" t="s">
        <v>50</v>
      </c>
      <c r="AM34" s="655" t="s">
        <v>53</v>
      </c>
      <c r="AN34" s="655" t="s">
        <v>55</v>
      </c>
      <c r="AO34" s="655" t="s">
        <v>57</v>
      </c>
      <c r="AP34" s="657" t="s">
        <v>59</v>
      </c>
      <c r="AQ34" s="657" t="s">
        <v>61</v>
      </c>
      <c r="AR34" s="657" t="s">
        <v>101</v>
      </c>
      <c r="AS34" s="657" t="s">
        <v>107</v>
      </c>
      <c r="AT34" s="651" t="s">
        <v>143</v>
      </c>
      <c r="AU34" s="651" t="s">
        <v>144</v>
      </c>
      <c r="AV34" s="651" t="s">
        <v>145</v>
      </c>
      <c r="AW34" s="651" t="s">
        <v>146</v>
      </c>
      <c r="AX34" s="643"/>
      <c r="AY34" s="649"/>
    </row>
    <row r="35" spans="1:51" s="199" customFormat="1" ht="12.75" customHeight="1" thickBot="1" x14ac:dyDescent="0.3">
      <c r="A35" s="617"/>
      <c r="B35" s="618"/>
      <c r="C35" s="618"/>
      <c r="D35" s="618"/>
      <c r="E35" s="618"/>
      <c r="F35" s="618"/>
      <c r="G35" s="618"/>
      <c r="H35" s="619"/>
      <c r="I35" s="622"/>
      <c r="J35" s="618"/>
      <c r="K35" s="619"/>
      <c r="L35" s="622"/>
      <c r="M35" s="618"/>
      <c r="N35" s="618"/>
      <c r="O35" s="618"/>
      <c r="P35" s="618"/>
      <c r="Q35" s="618"/>
      <c r="R35" s="618"/>
      <c r="S35" s="619"/>
      <c r="T35" s="633"/>
      <c r="U35" s="633"/>
      <c r="V35" s="633"/>
      <c r="W35" s="635"/>
      <c r="X35" s="627"/>
      <c r="Y35" s="654"/>
      <c r="Z35" s="656"/>
      <c r="AA35" s="656"/>
      <c r="AB35" s="656"/>
      <c r="AC35" s="658"/>
      <c r="AD35" s="658"/>
      <c r="AE35" s="658"/>
      <c r="AF35" s="658"/>
      <c r="AG35" s="652"/>
      <c r="AH35" s="652"/>
      <c r="AI35" s="652"/>
      <c r="AJ35" s="652"/>
      <c r="AK35" s="644"/>
      <c r="AL35" s="656"/>
      <c r="AM35" s="656"/>
      <c r="AN35" s="656"/>
      <c r="AO35" s="656"/>
      <c r="AP35" s="658"/>
      <c r="AQ35" s="658"/>
      <c r="AR35" s="658"/>
      <c r="AS35" s="658"/>
      <c r="AT35" s="652"/>
      <c r="AU35" s="652"/>
      <c r="AV35" s="652"/>
      <c r="AW35" s="652"/>
      <c r="AX35" s="644"/>
      <c r="AY35" s="650"/>
    </row>
    <row r="36" spans="1:51" s="199" customFormat="1" ht="15.75" x14ac:dyDescent="0.25">
      <c r="A36" s="661">
        <v>1</v>
      </c>
      <c r="B36" s="662"/>
      <c r="C36" s="662"/>
      <c r="D36" s="662"/>
      <c r="E36" s="662"/>
      <c r="F36" s="662"/>
      <c r="G36" s="662"/>
      <c r="H36" s="663"/>
      <c r="I36" s="664">
        <v>2</v>
      </c>
      <c r="J36" s="665"/>
      <c r="K36" s="666"/>
      <c r="L36" s="664">
        <v>3</v>
      </c>
      <c r="M36" s="665"/>
      <c r="N36" s="665"/>
      <c r="O36" s="665"/>
      <c r="P36" s="665"/>
      <c r="Q36" s="665"/>
      <c r="R36" s="665"/>
      <c r="S36" s="665"/>
      <c r="T36" s="234">
        <v>4</v>
      </c>
      <c r="U36" s="235">
        <v>5</v>
      </c>
      <c r="V36" s="236">
        <v>6</v>
      </c>
      <c r="W36" s="237" t="s">
        <v>147</v>
      </c>
      <c r="X36" s="237">
        <v>8</v>
      </c>
      <c r="Y36" s="238"/>
      <c r="Z36" s="239"/>
      <c r="AA36" s="239"/>
      <c r="AB36" s="239"/>
      <c r="AC36" s="240"/>
      <c r="AD36" s="240"/>
      <c r="AE36" s="240"/>
      <c r="AF36" s="240"/>
      <c r="AG36" s="241"/>
      <c r="AH36" s="241"/>
      <c r="AI36" s="241"/>
      <c r="AJ36" s="242"/>
      <c r="AK36" s="243"/>
      <c r="AL36" s="244"/>
      <c r="AM36" s="239"/>
      <c r="AN36" s="239"/>
      <c r="AO36" s="239"/>
      <c r="AP36" s="240"/>
      <c r="AQ36" s="240"/>
      <c r="AR36" s="240"/>
      <c r="AS36" s="240"/>
      <c r="AT36" s="241"/>
      <c r="AU36" s="241"/>
      <c r="AV36" s="241"/>
      <c r="AW36" s="242"/>
      <c r="AX36" s="243"/>
      <c r="AY36" s="245"/>
    </row>
    <row r="37" spans="1:51" s="268" customFormat="1" ht="15" customHeight="1" x14ac:dyDescent="0.25">
      <c r="A37" s="246"/>
      <c r="B37" s="247" t="s">
        <v>59</v>
      </c>
      <c r="C37" s="247"/>
      <c r="D37" s="247"/>
      <c r="E37" s="247"/>
      <c r="F37" s="247"/>
      <c r="G37" s="247"/>
      <c r="H37" s="248"/>
      <c r="I37" s="249"/>
      <c r="J37" s="250" t="s">
        <v>148</v>
      </c>
      <c r="K37" s="251"/>
      <c r="L37" s="252"/>
      <c r="M37" s="253"/>
      <c r="N37" s="253"/>
      <c r="O37" s="253"/>
      <c r="P37" s="253"/>
      <c r="Q37" s="253"/>
      <c r="R37" s="253"/>
      <c r="S37" s="253"/>
      <c r="T37" s="254"/>
      <c r="U37" s="254"/>
      <c r="V37" s="255"/>
      <c r="W37" s="256">
        <f t="shared" ref="W37:W38" si="0">W38</f>
        <v>15750000</v>
      </c>
      <c r="X37" s="257"/>
      <c r="Y37" s="258"/>
      <c r="Z37" s="259"/>
      <c r="AA37" s="260"/>
      <c r="AB37" s="261"/>
      <c r="AC37" s="262"/>
      <c r="AD37" s="262"/>
      <c r="AE37" s="262"/>
      <c r="AF37" s="262"/>
      <c r="AG37" s="263"/>
      <c r="AH37" s="263"/>
      <c r="AI37" s="263"/>
      <c r="AJ37" s="264"/>
      <c r="AK37" s="265"/>
      <c r="AL37" s="266"/>
      <c r="AM37" s="259"/>
      <c r="AN37" s="260"/>
      <c r="AO37" s="261"/>
      <c r="AP37" s="262"/>
      <c r="AQ37" s="262"/>
      <c r="AR37" s="262"/>
      <c r="AS37" s="262"/>
      <c r="AT37" s="263"/>
      <c r="AU37" s="263"/>
      <c r="AV37" s="263"/>
      <c r="AW37" s="264"/>
      <c r="AX37" s="265"/>
      <c r="AY37" s="267"/>
    </row>
    <row r="38" spans="1:51" s="268" customFormat="1" ht="15" customHeight="1" x14ac:dyDescent="0.25">
      <c r="A38" s="269"/>
      <c r="B38" s="270" t="s">
        <v>59</v>
      </c>
      <c r="C38" s="334" t="s">
        <v>53</v>
      </c>
      <c r="D38" s="271"/>
      <c r="E38" s="271"/>
      <c r="F38" s="272"/>
      <c r="G38" s="270"/>
      <c r="H38" s="273"/>
      <c r="I38" s="274"/>
      <c r="J38" s="275" t="s">
        <v>558</v>
      </c>
      <c r="K38" s="276"/>
      <c r="L38" s="277"/>
      <c r="M38" s="278"/>
      <c r="N38" s="278"/>
      <c r="O38" s="278"/>
      <c r="P38" s="278"/>
      <c r="Q38" s="278"/>
      <c r="R38" s="278"/>
      <c r="S38" s="278"/>
      <c r="T38" s="279"/>
      <c r="U38" s="279"/>
      <c r="V38" s="280"/>
      <c r="W38" s="281">
        <f t="shared" si="0"/>
        <v>15750000</v>
      </c>
      <c r="X38" s="257"/>
      <c r="Y38" s="258"/>
      <c r="Z38" s="259"/>
      <c r="AA38" s="261"/>
      <c r="AB38" s="261"/>
      <c r="AC38" s="262"/>
      <c r="AD38" s="262"/>
      <c r="AE38" s="262"/>
      <c r="AF38" s="262"/>
      <c r="AG38" s="263"/>
      <c r="AH38" s="263"/>
      <c r="AI38" s="263"/>
      <c r="AJ38" s="264"/>
      <c r="AK38" s="265"/>
      <c r="AL38" s="266"/>
      <c r="AM38" s="259"/>
      <c r="AN38" s="261"/>
      <c r="AO38" s="261"/>
      <c r="AP38" s="262"/>
      <c r="AQ38" s="262"/>
      <c r="AR38" s="262"/>
      <c r="AS38" s="262"/>
      <c r="AT38" s="263"/>
      <c r="AU38" s="263"/>
      <c r="AV38" s="263"/>
      <c r="AW38" s="264"/>
      <c r="AX38" s="265"/>
      <c r="AY38" s="267"/>
    </row>
    <row r="39" spans="1:51" s="268" customFormat="1" ht="15" customHeight="1" x14ac:dyDescent="0.25">
      <c r="A39" s="269"/>
      <c r="B39" s="270" t="s">
        <v>59</v>
      </c>
      <c r="C39" s="334" t="s">
        <v>53</v>
      </c>
      <c r="D39" s="288" t="s">
        <v>71</v>
      </c>
      <c r="E39" s="271"/>
      <c r="F39" s="271"/>
      <c r="G39" s="270"/>
      <c r="H39" s="273"/>
      <c r="I39" s="282"/>
      <c r="J39" s="283" t="s">
        <v>559</v>
      </c>
      <c r="K39" s="284"/>
      <c r="L39" s="285"/>
      <c r="M39" s="286"/>
      <c r="N39" s="286"/>
      <c r="O39" s="286"/>
      <c r="P39" s="286"/>
      <c r="Q39" s="286"/>
      <c r="R39" s="286"/>
      <c r="S39" s="286"/>
      <c r="T39" s="279"/>
      <c r="U39" s="279"/>
      <c r="V39" s="280"/>
      <c r="W39" s="281">
        <f>W40</f>
        <v>15750000</v>
      </c>
      <c r="X39" s="287"/>
      <c r="Y39" s="258"/>
      <c r="Z39" s="259"/>
      <c r="AA39" s="261"/>
      <c r="AB39" s="261"/>
      <c r="AC39" s="262"/>
      <c r="AD39" s="262"/>
      <c r="AE39" s="262"/>
      <c r="AF39" s="262"/>
      <c r="AG39" s="263"/>
      <c r="AH39" s="263"/>
      <c r="AI39" s="263"/>
      <c r="AJ39" s="264"/>
      <c r="AK39" s="265"/>
      <c r="AL39" s="266"/>
      <c r="AM39" s="259"/>
      <c r="AN39" s="261"/>
      <c r="AO39" s="261"/>
      <c r="AP39" s="262"/>
      <c r="AQ39" s="262"/>
      <c r="AR39" s="262"/>
      <c r="AS39" s="262"/>
      <c r="AT39" s="263"/>
      <c r="AU39" s="263"/>
      <c r="AV39" s="263"/>
      <c r="AW39" s="264"/>
      <c r="AX39" s="265"/>
      <c r="AY39" s="267"/>
    </row>
    <row r="40" spans="1:51" s="305" customFormat="1" ht="15" customHeight="1" x14ac:dyDescent="0.25">
      <c r="A40" s="269"/>
      <c r="B40" s="270" t="s">
        <v>59</v>
      </c>
      <c r="C40" s="334" t="s">
        <v>53</v>
      </c>
      <c r="D40" s="288" t="s">
        <v>71</v>
      </c>
      <c r="E40" s="288" t="s">
        <v>65</v>
      </c>
      <c r="F40" s="271"/>
      <c r="G40" s="270"/>
      <c r="H40" s="273"/>
      <c r="I40" s="289"/>
      <c r="J40" s="275" t="s">
        <v>560</v>
      </c>
      <c r="K40" s="290"/>
      <c r="L40" s="291"/>
      <c r="M40" s="292"/>
      <c r="N40" s="292"/>
      <c r="O40" s="292"/>
      <c r="P40" s="292"/>
      <c r="Q40" s="292"/>
      <c r="R40" s="292"/>
      <c r="S40" s="292"/>
      <c r="T40" s="293"/>
      <c r="U40" s="293"/>
      <c r="V40" s="294"/>
      <c r="W40" s="295">
        <f>W41</f>
        <v>15750000</v>
      </c>
      <c r="X40" s="296"/>
      <c r="Y40" s="297"/>
      <c r="Z40" s="259"/>
      <c r="AA40" s="298"/>
      <c r="AB40" s="298"/>
      <c r="AC40" s="299"/>
      <c r="AD40" s="299"/>
      <c r="AE40" s="299"/>
      <c r="AF40" s="299"/>
      <c r="AG40" s="300"/>
      <c r="AH40" s="300"/>
      <c r="AI40" s="300"/>
      <c r="AJ40" s="301"/>
      <c r="AK40" s="302"/>
      <c r="AL40" s="303"/>
      <c r="AM40" s="259"/>
      <c r="AN40" s="298"/>
      <c r="AO40" s="298"/>
      <c r="AP40" s="299"/>
      <c r="AQ40" s="299"/>
      <c r="AR40" s="299"/>
      <c r="AS40" s="299"/>
      <c r="AT40" s="300"/>
      <c r="AU40" s="300"/>
      <c r="AV40" s="300"/>
      <c r="AW40" s="301"/>
      <c r="AX40" s="302"/>
      <c r="AY40" s="304"/>
    </row>
    <row r="41" spans="1:51" s="305" customFormat="1" ht="15" customHeight="1" x14ac:dyDescent="0.25">
      <c r="A41" s="269"/>
      <c r="B41" s="270" t="s">
        <v>59</v>
      </c>
      <c r="C41" s="334" t="s">
        <v>53</v>
      </c>
      <c r="D41" s="288" t="s">
        <v>71</v>
      </c>
      <c r="E41" s="288" t="s">
        <v>65</v>
      </c>
      <c r="F41" s="271" t="s">
        <v>65</v>
      </c>
      <c r="G41" s="270"/>
      <c r="H41" s="273"/>
      <c r="I41" s="289"/>
      <c r="J41" s="275" t="s">
        <v>561</v>
      </c>
      <c r="K41" s="290"/>
      <c r="L41" s="291"/>
      <c r="M41" s="292"/>
      <c r="N41" s="292"/>
      <c r="O41" s="292"/>
      <c r="P41" s="292"/>
      <c r="Q41" s="292"/>
      <c r="R41" s="292"/>
      <c r="S41" s="292"/>
      <c r="T41" s="293"/>
      <c r="U41" s="293"/>
      <c r="V41" s="294"/>
      <c r="W41" s="295">
        <f>W42</f>
        <v>15750000</v>
      </c>
      <c r="X41" s="296"/>
      <c r="Y41" s="297"/>
      <c r="Z41" s="259"/>
      <c r="AA41" s="298"/>
      <c r="AB41" s="298"/>
      <c r="AC41" s="299"/>
      <c r="AD41" s="299"/>
      <c r="AE41" s="299"/>
      <c r="AF41" s="299"/>
      <c r="AG41" s="300"/>
      <c r="AH41" s="300"/>
      <c r="AI41" s="300"/>
      <c r="AJ41" s="301"/>
      <c r="AK41" s="302"/>
      <c r="AL41" s="303"/>
      <c r="AM41" s="259"/>
      <c r="AN41" s="298"/>
      <c r="AO41" s="298"/>
      <c r="AP41" s="299"/>
      <c r="AQ41" s="299"/>
      <c r="AR41" s="299"/>
      <c r="AS41" s="299"/>
      <c r="AT41" s="300"/>
      <c r="AU41" s="300"/>
      <c r="AV41" s="300"/>
      <c r="AW41" s="301"/>
      <c r="AX41" s="302"/>
      <c r="AY41" s="304"/>
    </row>
    <row r="42" spans="1:51" s="330" customFormat="1" ht="15" customHeight="1" x14ac:dyDescent="0.25">
      <c r="A42" s="306"/>
      <c r="B42" s="307" t="s">
        <v>59</v>
      </c>
      <c r="C42" s="334" t="s">
        <v>53</v>
      </c>
      <c r="D42" s="309" t="s">
        <v>71</v>
      </c>
      <c r="E42" s="309" t="s">
        <v>65</v>
      </c>
      <c r="F42" s="308" t="s">
        <v>65</v>
      </c>
      <c r="G42" s="310" t="s">
        <v>562</v>
      </c>
      <c r="H42" s="311"/>
      <c r="I42" s="312"/>
      <c r="J42" s="313" t="s">
        <v>563</v>
      </c>
      <c r="K42" s="314"/>
      <c r="L42" s="315"/>
      <c r="M42" s="316"/>
      <c r="N42" s="316"/>
      <c r="O42" s="316"/>
      <c r="P42" s="316"/>
      <c r="Q42" s="316"/>
      <c r="R42" s="316"/>
      <c r="S42" s="316"/>
      <c r="T42" s="317"/>
      <c r="U42" s="317"/>
      <c r="V42" s="318"/>
      <c r="W42" s="319">
        <f>SUM( W43:W44)</f>
        <v>15750000</v>
      </c>
      <c r="X42" s="320"/>
      <c r="Y42" s="321"/>
      <c r="Z42" s="322"/>
      <c r="AA42" s="323"/>
      <c r="AB42" s="323"/>
      <c r="AC42" s="324"/>
      <c r="AD42" s="324"/>
      <c r="AE42" s="324"/>
      <c r="AF42" s="324"/>
      <c r="AG42" s="325"/>
      <c r="AH42" s="325"/>
      <c r="AI42" s="325"/>
      <c r="AJ42" s="326"/>
      <c r="AK42" s="327"/>
      <c r="AL42" s="328"/>
      <c r="AM42" s="322"/>
      <c r="AN42" s="323"/>
      <c r="AO42" s="323"/>
      <c r="AP42" s="324"/>
      <c r="AQ42" s="324"/>
      <c r="AR42" s="324"/>
      <c r="AS42" s="324"/>
      <c r="AT42" s="325"/>
      <c r="AU42" s="325"/>
      <c r="AV42" s="325"/>
      <c r="AW42" s="326"/>
      <c r="AX42" s="327"/>
      <c r="AY42" s="329"/>
    </row>
    <row r="43" spans="1:51" s="330" customFormat="1" ht="15" customHeight="1" x14ac:dyDescent="0.25">
      <c r="A43" s="306"/>
      <c r="B43" s="307"/>
      <c r="C43" s="307"/>
      <c r="D43" s="308"/>
      <c r="E43" s="308"/>
      <c r="F43" s="308"/>
      <c r="G43" s="307"/>
      <c r="H43" s="311"/>
      <c r="I43" s="312"/>
      <c r="J43" s="331" t="s">
        <v>564</v>
      </c>
      <c r="K43" s="314"/>
      <c r="L43" s="315"/>
      <c r="M43" s="316"/>
      <c r="N43" s="316"/>
      <c r="O43" s="316"/>
      <c r="P43" s="316"/>
      <c r="Q43" s="316"/>
      <c r="R43" s="316">
        <v>55</v>
      </c>
      <c r="S43" s="316" t="s">
        <v>565</v>
      </c>
      <c r="T43" s="317">
        <f>R43</f>
        <v>55</v>
      </c>
      <c r="U43" s="317" t="s">
        <v>565</v>
      </c>
      <c r="V43" s="318">
        <v>150000</v>
      </c>
      <c r="W43" s="484">
        <f>V43*T43</f>
        <v>8250000</v>
      </c>
      <c r="X43" s="320" t="s">
        <v>566</v>
      </c>
      <c r="Y43" s="321">
        <f>W43</f>
        <v>8250000</v>
      </c>
      <c r="Z43" s="322"/>
      <c r="AA43" s="323"/>
      <c r="AB43" s="323"/>
      <c r="AC43" s="324"/>
      <c r="AD43" s="324"/>
      <c r="AE43" s="324"/>
      <c r="AF43" s="324"/>
      <c r="AG43" s="325"/>
      <c r="AH43" s="325"/>
      <c r="AI43" s="325"/>
      <c r="AJ43" s="326"/>
      <c r="AK43" s="332">
        <f>SUM(Y43:AJ43)</f>
        <v>8250000</v>
      </c>
      <c r="AL43" s="328"/>
      <c r="AM43" s="322"/>
      <c r="AN43" s="323"/>
      <c r="AO43" s="323"/>
      <c r="AP43" s="324"/>
      <c r="AQ43" s="324"/>
      <c r="AR43" s="324"/>
      <c r="AS43" s="324"/>
      <c r="AT43" s="325"/>
      <c r="AU43" s="325"/>
      <c r="AV43" s="325"/>
      <c r="AW43" s="326"/>
      <c r="AX43" s="332">
        <f t="shared" ref="AX43" si="1">SUM(AL43:AW43)</f>
        <v>0</v>
      </c>
      <c r="AY43" s="333">
        <f t="shared" ref="AY43" si="2">AK43-AX43</f>
        <v>8250000</v>
      </c>
    </row>
    <row r="44" spans="1:51" s="330" customFormat="1" ht="15" customHeight="1" x14ac:dyDescent="0.25">
      <c r="A44" s="306"/>
      <c r="B44" s="307"/>
      <c r="C44" s="307"/>
      <c r="D44" s="308"/>
      <c r="E44" s="308"/>
      <c r="F44" s="308"/>
      <c r="G44" s="307"/>
      <c r="H44" s="311"/>
      <c r="I44" s="312"/>
      <c r="J44" s="331" t="s">
        <v>564</v>
      </c>
      <c r="K44" s="314"/>
      <c r="L44" s="315"/>
      <c r="M44" s="316"/>
      <c r="N44" s="316"/>
      <c r="O44" s="316"/>
      <c r="P44" s="316"/>
      <c r="Q44" s="316"/>
      <c r="R44" s="316">
        <v>50</v>
      </c>
      <c r="S44" s="316" t="s">
        <v>565</v>
      </c>
      <c r="T44" s="317">
        <f>R44</f>
        <v>50</v>
      </c>
      <c r="U44" s="317" t="s">
        <v>565</v>
      </c>
      <c r="V44" s="318">
        <v>150000</v>
      </c>
      <c r="W44" s="484">
        <f>V44*T44</f>
        <v>7500000</v>
      </c>
      <c r="X44" s="320" t="s">
        <v>649</v>
      </c>
      <c r="Y44" s="321"/>
      <c r="Z44" s="322"/>
      <c r="AA44" s="323"/>
      <c r="AB44" s="323"/>
      <c r="AC44" s="324"/>
      <c r="AD44" s="324">
        <f>W44</f>
        <v>7500000</v>
      </c>
      <c r="AE44" s="324"/>
      <c r="AF44" s="324"/>
      <c r="AG44" s="325"/>
      <c r="AH44" s="325"/>
      <c r="AI44" s="325"/>
      <c r="AJ44" s="326"/>
      <c r="AK44" s="332">
        <f t="shared" ref="AK44" si="3">SUM(Y44:AJ44)</f>
        <v>7500000</v>
      </c>
      <c r="AL44" s="328"/>
      <c r="AM44" s="322"/>
      <c r="AN44" s="323"/>
      <c r="AO44" s="323"/>
      <c r="AP44" s="324"/>
      <c r="AQ44" s="324"/>
      <c r="AR44" s="324"/>
      <c r="AS44" s="324"/>
      <c r="AT44" s="325"/>
      <c r="AU44" s="325"/>
      <c r="AV44" s="325"/>
      <c r="AW44" s="326"/>
      <c r="AX44" s="332">
        <f t="shared" ref="AX44" si="4">SUM(AL44:AW44)</f>
        <v>0</v>
      </c>
      <c r="AY44" s="333">
        <f t="shared" ref="AY44" si="5">AK44-AX44</f>
        <v>7500000</v>
      </c>
    </row>
    <row r="45" spans="1:51" s="345" customFormat="1" ht="15" customHeight="1" x14ac:dyDescent="0.25">
      <c r="A45" s="306"/>
      <c r="B45" s="307"/>
      <c r="C45" s="307"/>
      <c r="D45" s="308"/>
      <c r="E45" s="308"/>
      <c r="F45" s="308"/>
      <c r="G45" s="307"/>
      <c r="H45" s="311"/>
      <c r="I45" s="347"/>
      <c r="J45" s="313"/>
      <c r="K45" s="284"/>
      <c r="L45" s="285"/>
      <c r="M45" s="286"/>
      <c r="N45" s="286"/>
      <c r="O45" s="286"/>
      <c r="P45" s="286"/>
      <c r="Q45" s="286"/>
      <c r="R45" s="286"/>
      <c r="S45" s="286"/>
      <c r="T45" s="279"/>
      <c r="U45" s="279"/>
      <c r="V45" s="280"/>
      <c r="W45" s="346"/>
      <c r="X45" s="348"/>
      <c r="Y45" s="337"/>
      <c r="Z45" s="338"/>
      <c r="AA45" s="338"/>
      <c r="AB45" s="338"/>
      <c r="AC45" s="339"/>
      <c r="AD45" s="339"/>
      <c r="AE45" s="339"/>
      <c r="AF45" s="339"/>
      <c r="AG45" s="340"/>
      <c r="AH45" s="340"/>
      <c r="AI45" s="340"/>
      <c r="AJ45" s="341"/>
      <c r="AK45" s="343"/>
      <c r="AL45" s="342"/>
      <c r="AM45" s="338"/>
      <c r="AN45" s="338"/>
      <c r="AO45" s="338"/>
      <c r="AP45" s="339"/>
      <c r="AQ45" s="339"/>
      <c r="AR45" s="339"/>
      <c r="AS45" s="339"/>
      <c r="AT45" s="340"/>
      <c r="AU45" s="340"/>
      <c r="AV45" s="340"/>
      <c r="AW45" s="341"/>
      <c r="AX45" s="343"/>
      <c r="AY45" s="344"/>
    </row>
    <row r="46" spans="1:51" s="268" customFormat="1" ht="15" customHeight="1" thickBot="1" x14ac:dyDescent="0.3">
      <c r="A46" s="349"/>
      <c r="B46" s="350"/>
      <c r="C46" s="350"/>
      <c r="D46" s="351"/>
      <c r="E46" s="351"/>
      <c r="F46" s="351"/>
      <c r="G46" s="350"/>
      <c r="H46" s="352"/>
      <c r="I46" s="353"/>
      <c r="J46" s="354"/>
      <c r="K46" s="314"/>
      <c r="L46" s="331"/>
      <c r="M46" s="355"/>
      <c r="N46" s="355"/>
      <c r="O46" s="355"/>
      <c r="P46" s="355"/>
      <c r="Q46" s="355"/>
      <c r="R46" s="355"/>
      <c r="S46" s="355"/>
      <c r="T46" s="356"/>
      <c r="U46" s="317"/>
      <c r="V46" s="357"/>
      <c r="W46" s="358"/>
      <c r="X46" s="348"/>
      <c r="Y46" s="359"/>
      <c r="Z46" s="360"/>
      <c r="AA46" s="360"/>
      <c r="AB46" s="360"/>
      <c r="AC46" s="361"/>
      <c r="AD46" s="361"/>
      <c r="AE46" s="361"/>
      <c r="AF46" s="361"/>
      <c r="AG46" s="362"/>
      <c r="AH46" s="362"/>
      <c r="AI46" s="362"/>
      <c r="AJ46" s="363"/>
      <c r="AK46" s="265"/>
      <c r="AL46" s="364"/>
      <c r="AM46" s="360"/>
      <c r="AN46" s="360"/>
      <c r="AO46" s="360"/>
      <c r="AP46" s="361"/>
      <c r="AQ46" s="361"/>
      <c r="AR46" s="361"/>
      <c r="AS46" s="361"/>
      <c r="AT46" s="362"/>
      <c r="AU46" s="362"/>
      <c r="AV46" s="362"/>
      <c r="AW46" s="363"/>
      <c r="AX46" s="265"/>
      <c r="AY46" s="267"/>
    </row>
    <row r="47" spans="1:51" s="379" customFormat="1" ht="20.25" customHeight="1" thickBot="1" x14ac:dyDescent="0.3">
      <c r="A47" s="365" t="s">
        <v>157</v>
      </c>
      <c r="B47" s="366"/>
      <c r="C47" s="367"/>
      <c r="D47" s="367"/>
      <c r="E47" s="367"/>
      <c r="F47" s="367"/>
      <c r="G47" s="367"/>
      <c r="H47" s="367"/>
      <c r="I47" s="367"/>
      <c r="J47" s="367"/>
      <c r="K47" s="367"/>
      <c r="L47" s="367"/>
      <c r="M47" s="367"/>
      <c r="N47" s="367"/>
      <c r="O47" s="367"/>
      <c r="P47" s="367"/>
      <c r="Q47" s="367"/>
      <c r="R47" s="367"/>
      <c r="S47" s="367"/>
      <c r="T47" s="367"/>
      <c r="U47" s="367"/>
      <c r="V47" s="368"/>
      <c r="W47" s="369">
        <f>W37</f>
        <v>15750000</v>
      </c>
      <c r="X47" s="370"/>
      <c r="Y47" s="371"/>
      <c r="Z47" s="372"/>
      <c r="AA47" s="372"/>
      <c r="AB47" s="372"/>
      <c r="AC47" s="373"/>
      <c r="AD47" s="373"/>
      <c r="AE47" s="373"/>
      <c r="AF47" s="373"/>
      <c r="AG47" s="374"/>
      <c r="AH47" s="374"/>
      <c r="AI47" s="374"/>
      <c r="AJ47" s="375"/>
      <c r="AK47" s="376">
        <f>SUM(AK36:AK46)</f>
        <v>15750000</v>
      </c>
      <c r="AL47" s="377"/>
      <c r="AM47" s="372"/>
      <c r="AN47" s="372"/>
      <c r="AO47" s="372"/>
      <c r="AP47" s="373"/>
      <c r="AQ47" s="373"/>
      <c r="AR47" s="373"/>
      <c r="AS47" s="373"/>
      <c r="AT47" s="374"/>
      <c r="AU47" s="374"/>
      <c r="AV47" s="374"/>
      <c r="AW47" s="375"/>
      <c r="AX47" s="376">
        <f>SUM(AX36:AX46)</f>
        <v>0</v>
      </c>
      <c r="AY47" s="378">
        <f>SUM(AY36:AY46)</f>
        <v>15750000</v>
      </c>
    </row>
    <row r="48" spans="1:51" s="268" customFormat="1" ht="15.75" x14ac:dyDescent="0.25">
      <c r="A48" s="219" t="s">
        <v>158</v>
      </c>
      <c r="B48" s="380"/>
      <c r="C48" s="380"/>
      <c r="D48" s="380"/>
      <c r="E48" s="380"/>
      <c r="F48" s="380"/>
      <c r="G48" s="380"/>
      <c r="H48" s="380"/>
      <c r="I48" s="380"/>
      <c r="J48" s="380"/>
      <c r="K48" s="381"/>
      <c r="L48" s="382"/>
      <c r="M48" s="380"/>
      <c r="N48" s="380"/>
      <c r="O48" s="380"/>
      <c r="P48" s="380"/>
      <c r="Q48" s="380"/>
      <c r="R48" s="380"/>
      <c r="S48" s="380"/>
      <c r="T48" s="383"/>
      <c r="U48" s="384"/>
      <c r="V48" s="384"/>
      <c r="W48" s="384"/>
      <c r="X48" s="385"/>
      <c r="Y48" s="386"/>
      <c r="Z48" s="387"/>
      <c r="AA48" s="387"/>
      <c r="AB48" s="387"/>
      <c r="AC48" s="387"/>
      <c r="AD48" s="387"/>
      <c r="AE48" s="387"/>
      <c r="AF48" s="387"/>
      <c r="AG48" s="387"/>
      <c r="AH48" s="387"/>
      <c r="AI48" s="387"/>
      <c r="AJ48" s="387"/>
    </row>
    <row r="49" spans="1:36" s="268" customFormat="1" ht="15.75" x14ac:dyDescent="0.25">
      <c r="A49" s="219" t="s">
        <v>159</v>
      </c>
      <c r="B49" s="220"/>
      <c r="C49" s="380"/>
      <c r="D49" s="660" t="s">
        <v>160</v>
      </c>
      <c r="E49" s="660"/>
      <c r="F49" s="660"/>
      <c r="G49" s="660"/>
      <c r="H49" s="660"/>
      <c r="I49" s="388"/>
      <c r="J49" s="388"/>
      <c r="K49" s="389"/>
      <c r="L49" s="390"/>
      <c r="M49" s="391"/>
      <c r="N49" s="391"/>
      <c r="O49" s="391"/>
      <c r="P49" s="391"/>
      <c r="Q49" s="391"/>
      <c r="R49" s="391"/>
      <c r="S49" s="391"/>
      <c r="T49" s="380"/>
      <c r="U49" s="388"/>
      <c r="V49" s="392" t="s">
        <v>841</v>
      </c>
      <c r="W49" s="393"/>
      <c r="X49" s="394"/>
      <c r="Y49" s="387"/>
      <c r="Z49" s="387"/>
      <c r="AA49" s="387" t="s">
        <v>161</v>
      </c>
      <c r="AB49" s="387"/>
      <c r="AC49" s="387"/>
      <c r="AD49" s="387"/>
      <c r="AE49" s="387"/>
      <c r="AF49" s="387"/>
      <c r="AG49" s="387"/>
      <c r="AH49" s="387"/>
      <c r="AI49" s="387"/>
      <c r="AJ49" s="387"/>
    </row>
    <row r="50" spans="1:36" s="268" customFormat="1" ht="12" customHeight="1" x14ac:dyDescent="0.25">
      <c r="A50" s="219" t="s">
        <v>162</v>
      </c>
      <c r="B50" s="220"/>
      <c r="C50" s="380"/>
      <c r="D50" s="660" t="s">
        <v>160</v>
      </c>
      <c r="E50" s="660"/>
      <c r="F50" s="660"/>
      <c r="G50" s="660"/>
      <c r="H50" s="660"/>
      <c r="I50" s="388"/>
      <c r="J50" s="388"/>
      <c r="K50" s="389"/>
      <c r="L50" s="390"/>
      <c r="M50" s="391"/>
      <c r="N50" s="391"/>
      <c r="O50" s="391"/>
      <c r="P50" s="391"/>
      <c r="Q50" s="391"/>
      <c r="R50" s="391"/>
      <c r="S50" s="391"/>
      <c r="T50" s="380"/>
      <c r="U50" s="384"/>
      <c r="V50" s="395" t="s">
        <v>26</v>
      </c>
      <c r="W50" s="393"/>
      <c r="X50" s="394"/>
      <c r="Y50" s="387"/>
      <c r="Z50" s="387"/>
      <c r="AA50" s="387"/>
      <c r="AB50" s="387"/>
      <c r="AC50" s="387"/>
      <c r="AD50" s="387"/>
      <c r="AE50" s="387"/>
      <c r="AF50" s="387"/>
      <c r="AG50" s="387"/>
      <c r="AH50" s="387"/>
      <c r="AI50" s="387"/>
      <c r="AJ50" s="387"/>
    </row>
    <row r="51" spans="1:36" s="268" customFormat="1" ht="15.75" x14ac:dyDescent="0.25">
      <c r="A51" s="219" t="s">
        <v>163</v>
      </c>
      <c r="B51" s="220"/>
      <c r="C51" s="380"/>
      <c r="D51" s="660" t="s">
        <v>160</v>
      </c>
      <c r="E51" s="660"/>
      <c r="F51" s="660"/>
      <c r="G51" s="660"/>
      <c r="H51" s="660"/>
      <c r="I51" s="388"/>
      <c r="J51" s="388"/>
      <c r="K51" s="389"/>
      <c r="L51" s="390"/>
      <c r="M51" s="391"/>
      <c r="N51" s="391"/>
      <c r="O51" s="391"/>
      <c r="P51" s="391"/>
      <c r="Q51" s="391"/>
      <c r="R51" s="391"/>
      <c r="S51" s="391"/>
      <c r="T51" s="380"/>
      <c r="U51" s="384"/>
      <c r="V51" s="395"/>
      <c r="W51" s="393"/>
      <c r="X51" s="394"/>
      <c r="Y51" s="387"/>
      <c r="Z51" s="667">
        <f>W43</f>
        <v>8250000</v>
      </c>
      <c r="AA51" s="667"/>
      <c r="AB51" s="387"/>
      <c r="AC51" s="387"/>
      <c r="AD51" s="387"/>
      <c r="AE51" s="387"/>
      <c r="AF51" s="387"/>
      <c r="AG51" s="387"/>
      <c r="AH51" s="387"/>
      <c r="AI51" s="387"/>
      <c r="AJ51" s="387"/>
    </row>
    <row r="52" spans="1:36" s="268" customFormat="1" ht="15.75" x14ac:dyDescent="0.25">
      <c r="A52" s="219"/>
      <c r="B52" s="220"/>
      <c r="C52" s="380"/>
      <c r="D52" s="659"/>
      <c r="E52" s="659"/>
      <c r="F52" s="659"/>
      <c r="G52" s="659"/>
      <c r="H52" s="659"/>
      <c r="I52" s="388"/>
      <c r="J52" s="388"/>
      <c r="K52" s="396"/>
      <c r="L52" s="390"/>
      <c r="M52" s="391"/>
      <c r="N52" s="391"/>
      <c r="O52" s="391"/>
      <c r="P52" s="391"/>
      <c r="Q52" s="391"/>
      <c r="R52" s="391"/>
      <c r="S52" s="391"/>
      <c r="T52" s="380"/>
      <c r="U52" s="393"/>
      <c r="V52" s="395"/>
      <c r="W52" s="393"/>
      <c r="X52" s="394"/>
      <c r="Y52" s="387"/>
      <c r="Z52" s="667">
        <f>'5.5.5'!W44+'5.5.5'!W50+'5.5.5'!W65+'5.5.5'!W70+'5.5.5'!W73+'5.5.5'!W84+'5.5.5'!W98+'5.5.5'!W120+'5.5.5'!W102</f>
        <v>27367200</v>
      </c>
      <c r="AA52" s="667"/>
      <c r="AB52" s="387"/>
      <c r="AC52" s="387"/>
      <c r="AD52" s="387"/>
      <c r="AE52" s="387"/>
      <c r="AF52" s="387"/>
      <c r="AG52" s="387"/>
      <c r="AH52" s="387"/>
      <c r="AI52" s="387"/>
      <c r="AJ52" s="387"/>
    </row>
    <row r="53" spans="1:36" s="268" customFormat="1" ht="15.75" x14ac:dyDescent="0.25">
      <c r="A53" s="219" t="s">
        <v>87</v>
      </c>
      <c r="B53" s="220"/>
      <c r="C53" s="380"/>
      <c r="D53" s="660" t="s">
        <v>160</v>
      </c>
      <c r="E53" s="660"/>
      <c r="F53" s="660"/>
      <c r="G53" s="660"/>
      <c r="H53" s="660"/>
      <c r="I53" s="388"/>
      <c r="J53" s="388"/>
      <c r="K53" s="396"/>
      <c r="L53" s="390"/>
      <c r="M53" s="391"/>
      <c r="N53" s="391"/>
      <c r="O53" s="391"/>
      <c r="P53" s="391"/>
      <c r="Q53" s="391"/>
      <c r="R53" s="391"/>
      <c r="S53" s="391"/>
      <c r="T53" s="380"/>
      <c r="U53" s="393"/>
      <c r="V53" s="397"/>
      <c r="W53" s="398"/>
      <c r="X53" s="394"/>
      <c r="Y53" s="387"/>
      <c r="Z53" s="667">
        <f>'5.5.7'!W43+'5.5.7'!W51</f>
        <v>33000000</v>
      </c>
      <c r="AA53" s="667"/>
      <c r="AB53" s="387"/>
      <c r="AC53" s="387"/>
      <c r="AD53" s="387"/>
      <c r="AE53" s="387"/>
      <c r="AF53" s="387"/>
      <c r="AG53" s="387"/>
      <c r="AH53" s="387"/>
      <c r="AI53" s="387"/>
      <c r="AJ53" s="387"/>
    </row>
    <row r="54" spans="1:36" s="268" customFormat="1" ht="15.75" x14ac:dyDescent="0.25">
      <c r="A54" s="399"/>
      <c r="B54" s="380"/>
      <c r="C54" s="380"/>
      <c r="D54" s="380"/>
      <c r="E54" s="380"/>
      <c r="F54" s="380"/>
      <c r="G54" s="380"/>
      <c r="H54" s="380"/>
      <c r="I54" s="388"/>
      <c r="J54" s="388"/>
      <c r="K54" s="396"/>
      <c r="L54" s="390"/>
      <c r="M54" s="391"/>
      <c r="N54" s="391"/>
      <c r="O54" s="391"/>
      <c r="P54" s="391"/>
      <c r="Q54" s="391"/>
      <c r="R54" s="391"/>
      <c r="S54" s="391"/>
      <c r="T54" s="380"/>
      <c r="U54" s="223"/>
      <c r="V54" s="400" t="s">
        <v>28</v>
      </c>
      <c r="W54" s="401"/>
      <c r="X54" s="394"/>
      <c r="Y54" s="387"/>
      <c r="Z54" s="667">
        <f>'5.7.2'!W43+'5.7.2'!W46</f>
        <v>12382800</v>
      </c>
      <c r="AA54" s="667"/>
      <c r="AB54" s="387"/>
      <c r="AC54" s="387"/>
      <c r="AD54" s="387"/>
      <c r="AE54" s="387"/>
      <c r="AF54" s="387"/>
      <c r="AG54" s="387"/>
      <c r="AH54" s="387"/>
      <c r="AI54" s="387"/>
      <c r="AJ54" s="387"/>
    </row>
    <row r="55" spans="1:36" s="268" customFormat="1" ht="15.75" x14ac:dyDescent="0.25">
      <c r="A55" s="399"/>
      <c r="B55" s="380"/>
      <c r="C55" s="380"/>
      <c r="D55" s="380"/>
      <c r="E55" s="380"/>
      <c r="F55" s="380"/>
      <c r="G55" s="380"/>
      <c r="H55" s="380"/>
      <c r="I55" s="393"/>
      <c r="J55" s="388"/>
      <c r="K55" s="389"/>
      <c r="L55" s="390"/>
      <c r="M55" s="391"/>
      <c r="N55" s="391"/>
      <c r="O55" s="391"/>
      <c r="P55" s="391"/>
      <c r="Q55" s="391"/>
      <c r="R55" s="391"/>
      <c r="S55" s="391"/>
      <c r="T55" s="380"/>
      <c r="U55" s="223"/>
      <c r="V55" s="402" t="s">
        <v>76</v>
      </c>
      <c r="W55" s="393"/>
      <c r="X55" s="394"/>
      <c r="Y55" s="387"/>
      <c r="Z55" s="667">
        <f>SUM(Z51:AA54)</f>
        <v>81000000</v>
      </c>
      <c r="AA55" s="667"/>
      <c r="AB55" s="387"/>
      <c r="AC55" s="387"/>
      <c r="AD55" s="387"/>
      <c r="AE55" s="387"/>
      <c r="AF55" s="387"/>
      <c r="AG55" s="387"/>
      <c r="AH55" s="387"/>
      <c r="AI55" s="387"/>
      <c r="AJ55" s="387"/>
    </row>
    <row r="56" spans="1:36" s="268" customFormat="1" ht="11.25" customHeight="1" thickBot="1" x14ac:dyDescent="0.3">
      <c r="A56" s="403"/>
      <c r="B56" s="404"/>
      <c r="C56" s="404"/>
      <c r="D56" s="404"/>
      <c r="E56" s="404"/>
      <c r="F56" s="404"/>
      <c r="G56" s="404"/>
      <c r="H56" s="404"/>
      <c r="I56" s="405"/>
      <c r="J56" s="405"/>
      <c r="K56" s="406"/>
      <c r="L56" s="407"/>
      <c r="M56" s="405"/>
      <c r="N56" s="405"/>
      <c r="O56" s="405"/>
      <c r="P56" s="405"/>
      <c r="Q56" s="405"/>
      <c r="R56" s="405"/>
      <c r="S56" s="405"/>
      <c r="T56" s="408"/>
      <c r="U56" s="409"/>
      <c r="V56" s="410"/>
      <c r="W56" s="410"/>
      <c r="X56" s="411"/>
      <c r="Y56" s="387"/>
      <c r="Z56" s="387"/>
      <c r="AA56" s="387"/>
      <c r="AB56" s="387"/>
      <c r="AC56" s="387"/>
      <c r="AD56" s="387"/>
      <c r="AE56" s="387"/>
      <c r="AF56" s="387"/>
      <c r="AG56" s="387"/>
      <c r="AH56" s="387"/>
      <c r="AI56" s="387"/>
      <c r="AJ56" s="387"/>
    </row>
    <row r="57" spans="1:36" s="199" customFormat="1" ht="15.75" x14ac:dyDescent="0.25">
      <c r="A57" s="412"/>
      <c r="B57" s="412"/>
      <c r="C57" s="412"/>
      <c r="D57" s="412"/>
      <c r="E57" s="412"/>
      <c r="F57" s="412"/>
      <c r="G57" s="412"/>
      <c r="H57" s="412"/>
      <c r="I57" s="413"/>
      <c r="J57" s="413"/>
      <c r="K57" s="413"/>
      <c r="L57" s="414"/>
      <c r="M57" s="412"/>
      <c r="N57" s="412"/>
      <c r="O57" s="412"/>
      <c r="P57" s="412"/>
      <c r="Q57" s="412"/>
      <c r="R57" s="412"/>
      <c r="S57" s="412"/>
      <c r="T57" s="412"/>
      <c r="U57" s="413"/>
      <c r="V57" s="413"/>
      <c r="W57" s="413"/>
      <c r="X57" s="413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</row>
    <row r="58" spans="1:36" s="199" customFormat="1" ht="15.75" x14ac:dyDescent="0.25">
      <c r="A58" s="412"/>
      <c r="B58" s="412"/>
      <c r="C58" s="412"/>
      <c r="D58" s="412"/>
      <c r="E58" s="412"/>
      <c r="F58" s="412"/>
      <c r="G58" s="412"/>
      <c r="H58" s="412"/>
      <c r="I58" s="413"/>
      <c r="J58" s="413"/>
      <c r="K58" s="413"/>
      <c r="L58" s="414"/>
      <c r="M58" s="412"/>
      <c r="N58" s="412"/>
      <c r="O58" s="412"/>
      <c r="P58" s="412"/>
      <c r="Q58" s="412"/>
      <c r="R58" s="412"/>
      <c r="S58" s="412"/>
      <c r="T58" s="412"/>
      <c r="U58" s="413"/>
      <c r="V58" s="413"/>
      <c r="W58" s="413"/>
      <c r="X58" s="413"/>
      <c r="Y58" s="198"/>
      <c r="Z58" s="198"/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</row>
    <row r="59" spans="1:36" s="199" customFormat="1" ht="15.75" x14ac:dyDescent="0.25">
      <c r="A59" s="412"/>
      <c r="B59" s="412"/>
      <c r="C59" s="412"/>
      <c r="D59" s="412"/>
      <c r="E59" s="412"/>
      <c r="F59" s="412"/>
      <c r="G59" s="412"/>
      <c r="H59" s="412"/>
      <c r="I59" s="413"/>
      <c r="J59" s="413"/>
      <c r="K59" s="413"/>
      <c r="L59" s="414"/>
      <c r="M59" s="412"/>
      <c r="N59" s="412"/>
      <c r="O59" s="412"/>
      <c r="P59" s="412"/>
      <c r="Q59" s="412"/>
      <c r="R59" s="412"/>
      <c r="S59" s="412"/>
      <c r="T59" s="412"/>
      <c r="U59" s="413"/>
      <c r="V59" s="413"/>
      <c r="W59" s="413"/>
      <c r="X59" s="413"/>
      <c r="Y59" s="198"/>
      <c r="Z59" s="198"/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</row>
    <row r="60" spans="1:36" ht="15.75" x14ac:dyDescent="0.25">
      <c r="A60" s="412"/>
      <c r="B60" s="412"/>
      <c r="C60" s="412"/>
      <c r="D60" s="412"/>
      <c r="E60" s="412"/>
      <c r="F60" s="412"/>
      <c r="G60" s="412"/>
      <c r="H60" s="412"/>
      <c r="I60" s="413"/>
      <c r="J60" s="413"/>
      <c r="K60" s="413"/>
      <c r="L60" s="414"/>
      <c r="M60" s="412"/>
      <c r="N60" s="412"/>
      <c r="O60" s="412"/>
      <c r="P60" s="412"/>
      <c r="Q60" s="412"/>
      <c r="R60" s="412"/>
      <c r="S60" s="412"/>
      <c r="T60" s="412"/>
      <c r="U60" s="413"/>
      <c r="V60" s="413"/>
      <c r="W60" s="413"/>
      <c r="X60" s="413"/>
    </row>
  </sheetData>
  <mergeCells count="77">
    <mergeCell ref="A13:X13"/>
    <mergeCell ref="V3:X3"/>
    <mergeCell ref="A5:X5"/>
    <mergeCell ref="A6:X6"/>
    <mergeCell ref="A7:I7"/>
    <mergeCell ref="A9:I9"/>
    <mergeCell ref="V23:X23"/>
    <mergeCell ref="A14:I14"/>
    <mergeCell ref="J14:U14"/>
    <mergeCell ref="V14:X14"/>
    <mergeCell ref="A15:I15"/>
    <mergeCell ref="A16:I19"/>
    <mergeCell ref="V16:X16"/>
    <mergeCell ref="V17:X17"/>
    <mergeCell ref="V18:X18"/>
    <mergeCell ref="V19:X19"/>
    <mergeCell ref="A20:I20"/>
    <mergeCell ref="V20:X20"/>
    <mergeCell ref="V21:X21"/>
    <mergeCell ref="K22:U22"/>
    <mergeCell ref="V22:X22"/>
    <mergeCell ref="A24:I24"/>
    <mergeCell ref="A28:I28"/>
    <mergeCell ref="A29:X29"/>
    <mergeCell ref="A30:X30"/>
    <mergeCell ref="A31:H35"/>
    <mergeCell ref="I31:K35"/>
    <mergeCell ref="L31:V32"/>
    <mergeCell ref="W31:W33"/>
    <mergeCell ref="X31:X35"/>
    <mergeCell ref="L33:S35"/>
    <mergeCell ref="T33:T35"/>
    <mergeCell ref="U33:U35"/>
    <mergeCell ref="V33:V35"/>
    <mergeCell ref="W34:W35"/>
    <mergeCell ref="Y31:AJ33"/>
    <mergeCell ref="AK31:AK35"/>
    <mergeCell ref="AL31:AW33"/>
    <mergeCell ref="AX31:AX35"/>
    <mergeCell ref="AY31:AY35"/>
    <mergeCell ref="AJ34:AJ35"/>
    <mergeCell ref="Y34:Y35"/>
    <mergeCell ref="Z34:Z35"/>
    <mergeCell ref="AA34:AA35"/>
    <mergeCell ref="AB34:AB35"/>
    <mergeCell ref="AC34:AC35"/>
    <mergeCell ref="AD34:AD35"/>
    <mergeCell ref="AE34:AE35"/>
    <mergeCell ref="AF34:AF35"/>
    <mergeCell ref="AG34:AG35"/>
    <mergeCell ref="AH34:AH35"/>
    <mergeCell ref="AI34:AI35"/>
    <mergeCell ref="AW34:AW35"/>
    <mergeCell ref="AL34:AL35"/>
    <mergeCell ref="AM34:AM35"/>
    <mergeCell ref="AN34:AN35"/>
    <mergeCell ref="AO34:AO35"/>
    <mergeCell ref="AP34:AP35"/>
    <mergeCell ref="AQ34:AQ35"/>
    <mergeCell ref="AR34:AR35"/>
    <mergeCell ref="AS34:AS35"/>
    <mergeCell ref="AT34:AT35"/>
    <mergeCell ref="AU34:AU35"/>
    <mergeCell ref="AV34:AV35"/>
    <mergeCell ref="D52:H52"/>
    <mergeCell ref="D53:H53"/>
    <mergeCell ref="A36:H36"/>
    <mergeCell ref="I36:K36"/>
    <mergeCell ref="L36:S36"/>
    <mergeCell ref="D49:H49"/>
    <mergeCell ref="D50:H50"/>
    <mergeCell ref="D51:H51"/>
    <mergeCell ref="Z51:AA51"/>
    <mergeCell ref="Z52:AA52"/>
    <mergeCell ref="Z53:AA53"/>
    <mergeCell ref="Z54:AA54"/>
    <mergeCell ref="Z55:AA55"/>
  </mergeCells>
  <phoneticPr fontId="31" type="noConversion"/>
  <pageMargins left="0.85" right="0" top="1" bottom="1.5" header="0.42" footer="0.31"/>
  <pageSetup paperSize="124" scale="57" orientation="portrait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46704-66B8-43A8-AA62-F4B4B4DAEA22}">
  <dimension ref="A1:AY59"/>
  <sheetViews>
    <sheetView showGridLines="0" topLeftCell="K28" zoomScaleNormal="100" zoomScaleSheetLayoutView="70" zoomScalePageLayoutView="40" workbookViewId="0">
      <selection activeCell="W43" sqref="W43"/>
    </sheetView>
  </sheetViews>
  <sheetFormatPr defaultColWidth="9.140625" defaultRowHeight="12.75" x14ac:dyDescent="0.2"/>
  <cols>
    <col min="1" max="6" width="3.7109375" style="415" customWidth="1"/>
    <col min="7" max="7" width="5.85546875" style="415" bestFit="1" customWidth="1"/>
    <col min="8" max="8" width="3.7109375" style="415" customWidth="1"/>
    <col min="9" max="9" width="2" style="176" customWidth="1"/>
    <col min="10" max="10" width="3.140625" style="176" customWidth="1"/>
    <col min="11" max="11" width="37.140625" style="176" customWidth="1"/>
    <col min="12" max="12" width="4.140625" style="416" customWidth="1"/>
    <col min="13" max="15" width="4" style="415" customWidth="1"/>
    <col min="16" max="16" width="6.5703125" style="415" bestFit="1" customWidth="1"/>
    <col min="17" max="17" width="4" style="415" customWidth="1"/>
    <col min="18" max="18" width="4.7109375" style="415" customWidth="1"/>
    <col min="19" max="19" width="6.7109375" style="415" bestFit="1" customWidth="1"/>
    <col min="20" max="20" width="8.5703125" style="415" customWidth="1"/>
    <col min="21" max="21" width="9.28515625" style="176" customWidth="1"/>
    <col min="22" max="22" width="12.140625" style="176" customWidth="1"/>
    <col min="23" max="23" width="13.7109375" style="176" customWidth="1"/>
    <col min="24" max="24" width="9.5703125" style="176" customWidth="1"/>
    <col min="25" max="25" width="10.28515625" style="175" bestFit="1" customWidth="1"/>
    <col min="26" max="26" width="8" style="175" customWidth="1"/>
    <col min="27" max="29" width="9.28515625" style="175" bestFit="1" customWidth="1"/>
    <col min="30" max="30" width="8" style="175" customWidth="1"/>
    <col min="31" max="31" width="9.28515625" style="175" bestFit="1" customWidth="1"/>
    <col min="32" max="33" width="8" style="175" customWidth="1"/>
    <col min="34" max="35" width="9.28515625" style="175" bestFit="1" customWidth="1"/>
    <col min="36" max="36" width="8" style="175" customWidth="1"/>
    <col min="37" max="37" width="10.28515625" style="176" bestFit="1" customWidth="1"/>
    <col min="38" max="50" width="9.140625" style="176"/>
    <col min="51" max="51" width="10.28515625" style="176" bestFit="1" customWidth="1"/>
    <col min="52" max="16384" width="9.140625" style="176"/>
  </cols>
  <sheetData>
    <row r="1" spans="1:36" ht="14.25" customHeight="1" x14ac:dyDescent="0.2">
      <c r="A1" s="169"/>
      <c r="B1" s="170"/>
      <c r="C1" s="170"/>
      <c r="D1" s="170"/>
      <c r="E1" s="170"/>
      <c r="F1" s="170"/>
      <c r="G1" s="170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2"/>
      <c r="U1" s="171"/>
      <c r="V1" s="173"/>
      <c r="W1" s="171"/>
      <c r="X1" s="174"/>
    </row>
    <row r="2" spans="1:36" ht="18.75" customHeight="1" x14ac:dyDescent="0.4">
      <c r="A2" s="177"/>
      <c r="B2" s="178"/>
      <c r="C2" s="178"/>
      <c r="D2" s="178"/>
      <c r="E2" s="178"/>
      <c r="F2" s="178"/>
      <c r="G2" s="178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80"/>
      <c r="U2" s="179"/>
      <c r="V2" s="181"/>
      <c r="W2" s="179"/>
      <c r="X2" s="182"/>
    </row>
    <row r="3" spans="1:36" ht="24.75" customHeight="1" x14ac:dyDescent="0.2">
      <c r="A3" s="183"/>
      <c r="B3" s="184"/>
      <c r="C3" s="184"/>
      <c r="D3" s="184"/>
      <c r="E3" s="184"/>
      <c r="F3" s="184"/>
      <c r="G3" s="184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6"/>
      <c r="U3" s="185"/>
      <c r="V3" s="562" t="s">
        <v>21</v>
      </c>
      <c r="W3" s="563"/>
      <c r="X3" s="564"/>
    </row>
    <row r="4" spans="1:36" ht="32.25" customHeight="1" thickBot="1" x14ac:dyDescent="0.25">
      <c r="A4" s="187"/>
      <c r="B4" s="188"/>
      <c r="C4" s="188"/>
      <c r="D4" s="188"/>
      <c r="E4" s="188"/>
      <c r="F4" s="188"/>
      <c r="G4" s="188"/>
      <c r="H4" s="189"/>
      <c r="I4" s="189"/>
      <c r="J4" s="189"/>
      <c r="K4" s="190"/>
      <c r="L4" s="189"/>
      <c r="M4" s="189"/>
      <c r="N4" s="189"/>
      <c r="O4" s="189"/>
      <c r="P4" s="189"/>
      <c r="Q4" s="189"/>
      <c r="R4" s="189"/>
      <c r="S4" s="189"/>
      <c r="T4" s="190"/>
      <c r="U4" s="189"/>
      <c r="V4" s="191"/>
      <c r="W4" s="192">
        <v>1</v>
      </c>
      <c r="X4" s="193"/>
    </row>
    <row r="5" spans="1:36" ht="21" customHeight="1" x14ac:dyDescent="0.2">
      <c r="A5" s="565" t="s">
        <v>1</v>
      </c>
      <c r="B5" s="566"/>
      <c r="C5" s="566"/>
      <c r="D5" s="566"/>
      <c r="E5" s="566"/>
      <c r="F5" s="566"/>
      <c r="G5" s="566"/>
      <c r="H5" s="566"/>
      <c r="I5" s="566"/>
      <c r="J5" s="566"/>
      <c r="K5" s="566"/>
      <c r="L5" s="566"/>
      <c r="M5" s="566"/>
      <c r="N5" s="566"/>
      <c r="O5" s="566"/>
      <c r="P5" s="566"/>
      <c r="Q5" s="566"/>
      <c r="R5" s="566"/>
      <c r="S5" s="566"/>
      <c r="T5" s="566"/>
      <c r="U5" s="566"/>
      <c r="V5" s="566"/>
      <c r="W5" s="566"/>
      <c r="X5" s="567"/>
    </row>
    <row r="6" spans="1:36" ht="21" customHeight="1" x14ac:dyDescent="0.2">
      <c r="A6" s="568" t="s">
        <v>836</v>
      </c>
      <c r="B6" s="569"/>
      <c r="C6" s="569"/>
      <c r="D6" s="569"/>
      <c r="E6" s="569"/>
      <c r="F6" s="569"/>
      <c r="G6" s="569"/>
      <c r="H6" s="569"/>
      <c r="I6" s="569"/>
      <c r="J6" s="569"/>
      <c r="K6" s="569"/>
      <c r="L6" s="569"/>
      <c r="M6" s="569"/>
      <c r="N6" s="569"/>
      <c r="O6" s="569"/>
      <c r="P6" s="569"/>
      <c r="Q6" s="569"/>
      <c r="R6" s="569"/>
      <c r="S6" s="569"/>
      <c r="T6" s="569"/>
      <c r="U6" s="569"/>
      <c r="V6" s="569"/>
      <c r="W6" s="569"/>
      <c r="X6" s="570"/>
    </row>
    <row r="7" spans="1:36" s="199" customFormat="1" ht="15" customHeight="1" x14ac:dyDescent="0.25">
      <c r="A7" s="571" t="s">
        <v>45</v>
      </c>
      <c r="B7" s="572"/>
      <c r="C7" s="572"/>
      <c r="D7" s="572"/>
      <c r="E7" s="572"/>
      <c r="F7" s="572"/>
      <c r="G7" s="572"/>
      <c r="H7" s="572"/>
      <c r="I7" s="572"/>
      <c r="J7" s="195" t="s">
        <v>113</v>
      </c>
      <c r="K7" s="196" t="s">
        <v>114</v>
      </c>
      <c r="L7" s="196"/>
      <c r="M7" s="196"/>
      <c r="N7" s="196"/>
      <c r="O7" s="196"/>
      <c r="P7" s="196"/>
      <c r="Q7" s="196"/>
      <c r="R7" s="196"/>
      <c r="S7" s="196"/>
      <c r="T7" s="196"/>
      <c r="U7" s="196"/>
      <c r="V7" s="196"/>
      <c r="W7" s="196"/>
      <c r="X7" s="197"/>
      <c r="Y7" s="198"/>
      <c r="Z7" s="198"/>
      <c r="AA7" s="198"/>
      <c r="AB7" s="198"/>
      <c r="AC7" s="198"/>
      <c r="AD7" s="198"/>
      <c r="AE7" s="198"/>
      <c r="AF7" s="198"/>
      <c r="AG7" s="198"/>
      <c r="AH7" s="198"/>
      <c r="AI7" s="198"/>
      <c r="AJ7" s="198"/>
    </row>
    <row r="8" spans="1:36" s="199" customFormat="1" ht="15" customHeight="1" x14ac:dyDescent="0.25">
      <c r="A8" s="194" t="s">
        <v>115</v>
      </c>
      <c r="B8" s="195"/>
      <c r="C8" s="195"/>
      <c r="D8" s="195"/>
      <c r="E8" s="195"/>
      <c r="F8" s="195"/>
      <c r="G8" s="195"/>
      <c r="H8" s="195"/>
      <c r="I8" s="195"/>
      <c r="J8" s="195" t="s">
        <v>113</v>
      </c>
      <c r="K8" s="200" t="s">
        <v>554</v>
      </c>
      <c r="L8" s="200"/>
      <c r="T8" s="200"/>
      <c r="U8" s="200"/>
      <c r="V8" s="200"/>
      <c r="W8" s="200"/>
      <c r="X8" s="201"/>
      <c r="Y8" s="198"/>
      <c r="Z8" s="198"/>
      <c r="AA8" s="198"/>
      <c r="AB8" s="198"/>
      <c r="AC8" s="198"/>
      <c r="AD8" s="198"/>
      <c r="AE8" s="198"/>
      <c r="AF8" s="198"/>
      <c r="AG8" s="198"/>
      <c r="AH8" s="198"/>
      <c r="AI8" s="198"/>
      <c r="AJ8" s="198"/>
    </row>
    <row r="9" spans="1:36" s="199" customFormat="1" ht="15" customHeight="1" x14ac:dyDescent="0.25">
      <c r="A9" s="573" t="s">
        <v>116</v>
      </c>
      <c r="B9" s="574"/>
      <c r="C9" s="574"/>
      <c r="D9" s="574"/>
      <c r="E9" s="574"/>
      <c r="F9" s="574"/>
      <c r="G9" s="574"/>
      <c r="H9" s="574"/>
      <c r="I9" s="574"/>
      <c r="J9" s="203" t="s">
        <v>113</v>
      </c>
      <c r="K9" s="204" t="s">
        <v>803</v>
      </c>
      <c r="L9" s="196"/>
      <c r="M9" s="204"/>
      <c r="N9" s="204"/>
      <c r="O9" s="204"/>
      <c r="P9" s="204"/>
      <c r="Q9" s="204"/>
      <c r="R9" s="204"/>
      <c r="S9" s="204"/>
      <c r="T9" s="196"/>
      <c r="U9" s="196"/>
      <c r="V9" s="196"/>
      <c r="W9" s="196"/>
      <c r="X9" s="197"/>
      <c r="Y9" s="198"/>
      <c r="Z9" s="198"/>
      <c r="AA9" s="198"/>
      <c r="AB9" s="198"/>
      <c r="AC9" s="198"/>
      <c r="AD9" s="198"/>
      <c r="AE9" s="198"/>
      <c r="AF9" s="198"/>
      <c r="AG9" s="198"/>
      <c r="AH9" s="198"/>
      <c r="AI9" s="198"/>
      <c r="AJ9" s="198"/>
    </row>
    <row r="10" spans="1:36" s="199" customFormat="1" ht="14.25" customHeight="1" x14ac:dyDescent="0.25">
      <c r="A10" s="202" t="s">
        <v>117</v>
      </c>
      <c r="B10" s="203"/>
      <c r="C10" s="205"/>
      <c r="D10" s="205"/>
      <c r="E10" s="205"/>
      <c r="F10" s="205"/>
      <c r="G10" s="205"/>
      <c r="H10" s="205"/>
      <c r="I10" s="203"/>
      <c r="J10" s="195" t="s">
        <v>113</v>
      </c>
      <c r="K10" s="206" t="s">
        <v>804</v>
      </c>
      <c r="L10" s="196"/>
      <c r="M10" s="196"/>
      <c r="N10" s="196"/>
      <c r="O10" s="196"/>
      <c r="P10" s="196"/>
      <c r="Q10" s="196"/>
      <c r="R10" s="196"/>
      <c r="S10" s="196"/>
      <c r="T10" s="207"/>
      <c r="U10" s="196"/>
      <c r="V10" s="196"/>
      <c r="W10" s="196"/>
      <c r="X10" s="197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</row>
    <row r="11" spans="1:36" s="199" customFormat="1" ht="14.25" customHeight="1" x14ac:dyDescent="0.25">
      <c r="A11" s="208" t="s">
        <v>118</v>
      </c>
      <c r="B11" s="209"/>
      <c r="C11" s="210"/>
      <c r="D11" s="210"/>
      <c r="E11" s="210"/>
      <c r="F11" s="210"/>
      <c r="G11" s="210"/>
      <c r="H11" s="210"/>
      <c r="I11" s="209"/>
      <c r="J11" s="195" t="s">
        <v>119</v>
      </c>
      <c r="K11" s="206" t="s">
        <v>114</v>
      </c>
      <c r="L11" s="211"/>
      <c r="M11" s="211"/>
      <c r="N11" s="211"/>
      <c r="O11" s="211"/>
      <c r="P11" s="211"/>
      <c r="Q11" s="211"/>
      <c r="R11" s="211"/>
      <c r="S11" s="211"/>
      <c r="T11" s="212"/>
      <c r="U11" s="211"/>
      <c r="V11" s="211"/>
      <c r="W11" s="211"/>
      <c r="X11" s="213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</row>
    <row r="12" spans="1:36" s="199" customFormat="1" ht="15.75" x14ac:dyDescent="0.25">
      <c r="A12" s="208" t="s">
        <v>120</v>
      </c>
      <c r="B12" s="209"/>
      <c r="C12" s="210"/>
      <c r="D12" s="210"/>
      <c r="E12" s="210"/>
      <c r="F12" s="210"/>
      <c r="G12" s="210"/>
      <c r="H12" s="210"/>
      <c r="I12" s="209"/>
      <c r="J12" s="195" t="s">
        <v>113</v>
      </c>
      <c r="K12" s="214" t="s">
        <v>805</v>
      </c>
      <c r="L12" s="211"/>
      <c r="M12" s="211"/>
      <c r="N12" s="211"/>
      <c r="O12" s="211"/>
      <c r="P12" s="211"/>
      <c r="Q12" s="211"/>
      <c r="R12" s="211"/>
      <c r="S12" s="211"/>
      <c r="T12" s="212"/>
      <c r="U12" s="211"/>
      <c r="V12" s="211"/>
      <c r="W12" s="211"/>
      <c r="X12" s="213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</row>
    <row r="13" spans="1:36" s="199" customFormat="1" ht="18" customHeight="1" x14ac:dyDescent="0.25">
      <c r="A13" s="559" t="s">
        <v>121</v>
      </c>
      <c r="B13" s="560"/>
      <c r="C13" s="560"/>
      <c r="D13" s="560"/>
      <c r="E13" s="560"/>
      <c r="F13" s="560"/>
      <c r="G13" s="560"/>
      <c r="H13" s="560"/>
      <c r="I13" s="560"/>
      <c r="J13" s="560"/>
      <c r="K13" s="560"/>
      <c r="L13" s="560"/>
      <c r="M13" s="560"/>
      <c r="N13" s="560"/>
      <c r="O13" s="560"/>
      <c r="P13" s="560"/>
      <c r="Q13" s="560"/>
      <c r="R13" s="560"/>
      <c r="S13" s="560"/>
      <c r="T13" s="560"/>
      <c r="U13" s="560"/>
      <c r="V13" s="560"/>
      <c r="W13" s="560"/>
      <c r="X13" s="561"/>
    </row>
    <row r="14" spans="1:36" s="199" customFormat="1" ht="15.75" x14ac:dyDescent="0.25">
      <c r="A14" s="578" t="s">
        <v>122</v>
      </c>
      <c r="B14" s="579"/>
      <c r="C14" s="579"/>
      <c r="D14" s="579"/>
      <c r="E14" s="579"/>
      <c r="F14" s="579"/>
      <c r="G14" s="579"/>
      <c r="H14" s="579"/>
      <c r="I14" s="580"/>
      <c r="J14" s="581" t="s">
        <v>123</v>
      </c>
      <c r="K14" s="579"/>
      <c r="L14" s="579"/>
      <c r="M14" s="579"/>
      <c r="N14" s="579"/>
      <c r="O14" s="579"/>
      <c r="P14" s="579"/>
      <c r="Q14" s="579"/>
      <c r="R14" s="579"/>
      <c r="S14" s="579"/>
      <c r="T14" s="579"/>
      <c r="U14" s="579"/>
      <c r="V14" s="581" t="s">
        <v>124</v>
      </c>
      <c r="W14" s="579"/>
      <c r="X14" s="582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</row>
    <row r="15" spans="1:36" s="199" customFormat="1" ht="17.25" customHeight="1" x14ac:dyDescent="0.25">
      <c r="A15" s="573" t="s">
        <v>125</v>
      </c>
      <c r="B15" s="574"/>
      <c r="C15" s="574"/>
      <c r="D15" s="574"/>
      <c r="E15" s="574"/>
      <c r="F15" s="574"/>
      <c r="G15" s="574"/>
      <c r="H15" s="574"/>
      <c r="I15" s="583"/>
      <c r="J15" s="203" t="s">
        <v>119</v>
      </c>
      <c r="K15" s="200"/>
      <c r="L15" s="196"/>
      <c r="M15" s="196"/>
      <c r="N15" s="196"/>
      <c r="O15" s="196"/>
      <c r="P15" s="196"/>
      <c r="Q15" s="196"/>
      <c r="R15" s="196"/>
      <c r="S15" s="196"/>
      <c r="T15" s="207"/>
      <c r="U15" s="196"/>
      <c r="V15" s="215"/>
      <c r="W15" s="196"/>
      <c r="X15" s="197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</row>
    <row r="16" spans="1:36" s="199" customFormat="1" ht="15.75" customHeight="1" x14ac:dyDescent="0.25">
      <c r="A16" s="571" t="s">
        <v>126</v>
      </c>
      <c r="B16" s="572"/>
      <c r="C16" s="572"/>
      <c r="D16" s="572"/>
      <c r="E16" s="572"/>
      <c r="F16" s="572"/>
      <c r="G16" s="572"/>
      <c r="H16" s="572"/>
      <c r="I16" s="584"/>
      <c r="J16" s="216" t="s">
        <v>119</v>
      </c>
      <c r="K16" s="217" t="s">
        <v>127</v>
      </c>
      <c r="L16" s="217"/>
      <c r="M16" s="217"/>
      <c r="N16" s="217"/>
      <c r="O16" s="217"/>
      <c r="P16" s="217"/>
      <c r="Q16" s="217"/>
      <c r="R16" s="217"/>
      <c r="S16" s="217"/>
      <c r="T16" s="218"/>
      <c r="U16" s="217"/>
      <c r="V16" s="591"/>
      <c r="W16" s="592"/>
      <c r="X16" s="593"/>
      <c r="Y16" s="198"/>
      <c r="Z16" s="198"/>
      <c r="AA16" s="198"/>
      <c r="AB16" s="198"/>
      <c r="AC16" s="198"/>
      <c r="AD16" s="198"/>
      <c r="AE16" s="198"/>
      <c r="AF16" s="198"/>
      <c r="AG16" s="198"/>
      <c r="AH16" s="198"/>
      <c r="AI16" s="198"/>
      <c r="AJ16" s="198"/>
    </row>
    <row r="17" spans="1:51" s="199" customFormat="1" ht="15.75" customHeight="1" x14ac:dyDescent="0.25">
      <c r="A17" s="585"/>
      <c r="B17" s="586"/>
      <c r="C17" s="586"/>
      <c r="D17" s="586"/>
      <c r="E17" s="586"/>
      <c r="F17" s="586"/>
      <c r="G17" s="586"/>
      <c r="H17" s="586"/>
      <c r="I17" s="587"/>
      <c r="J17" s="222" t="s">
        <v>119</v>
      </c>
      <c r="K17" s="223" t="s">
        <v>128</v>
      </c>
      <c r="L17" s="223"/>
      <c r="M17" s="223"/>
      <c r="N17" s="223"/>
      <c r="O17" s="223"/>
      <c r="P17" s="223"/>
      <c r="Q17" s="223"/>
      <c r="R17" s="223"/>
      <c r="S17" s="223"/>
      <c r="T17" s="224"/>
      <c r="U17" s="223"/>
      <c r="V17" s="594"/>
      <c r="W17" s="595"/>
      <c r="X17" s="596"/>
      <c r="Y17" s="198"/>
      <c r="Z17" s="198"/>
      <c r="AA17" s="198"/>
      <c r="AB17" s="198"/>
      <c r="AC17" s="198"/>
      <c r="AD17" s="198"/>
      <c r="AE17" s="198"/>
      <c r="AF17" s="198"/>
      <c r="AG17" s="198"/>
      <c r="AH17" s="198"/>
      <c r="AI17" s="198"/>
      <c r="AJ17" s="198"/>
    </row>
    <row r="18" spans="1:51" s="199" customFormat="1" ht="13.5" customHeight="1" x14ac:dyDescent="0.25">
      <c r="A18" s="585"/>
      <c r="B18" s="586"/>
      <c r="C18" s="586"/>
      <c r="D18" s="586"/>
      <c r="E18" s="586"/>
      <c r="F18" s="586"/>
      <c r="G18" s="586"/>
      <c r="H18" s="586"/>
      <c r="I18" s="587"/>
      <c r="J18" s="222" t="s">
        <v>119</v>
      </c>
      <c r="K18" s="223" t="s">
        <v>129</v>
      </c>
      <c r="L18" s="223"/>
      <c r="M18" s="223"/>
      <c r="N18" s="223"/>
      <c r="O18" s="223"/>
      <c r="P18" s="223"/>
      <c r="Q18" s="223"/>
      <c r="R18" s="223"/>
      <c r="S18" s="223"/>
      <c r="T18" s="224"/>
      <c r="U18" s="223"/>
      <c r="V18" s="594"/>
      <c r="W18" s="595"/>
      <c r="X18" s="596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</row>
    <row r="19" spans="1:51" s="199" customFormat="1" ht="15.75" customHeight="1" x14ac:dyDescent="0.25">
      <c r="A19" s="588"/>
      <c r="B19" s="589"/>
      <c r="C19" s="589"/>
      <c r="D19" s="589"/>
      <c r="E19" s="589"/>
      <c r="F19" s="589"/>
      <c r="G19" s="589"/>
      <c r="H19" s="589"/>
      <c r="I19" s="590"/>
      <c r="J19" s="226" t="s">
        <v>119</v>
      </c>
      <c r="K19" s="211" t="s">
        <v>130</v>
      </c>
      <c r="L19" s="211"/>
      <c r="M19" s="211"/>
      <c r="N19" s="211"/>
      <c r="O19" s="211"/>
      <c r="P19" s="211"/>
      <c r="Q19" s="211"/>
      <c r="R19" s="211"/>
      <c r="S19" s="211"/>
      <c r="T19" s="212"/>
      <c r="U19" s="211"/>
      <c r="V19" s="597"/>
      <c r="W19" s="598"/>
      <c r="X19" s="599"/>
      <c r="Y19" s="198"/>
      <c r="Z19" s="198"/>
      <c r="AA19" s="198"/>
      <c r="AB19" s="198"/>
      <c r="AC19" s="198"/>
      <c r="AD19" s="198"/>
      <c r="AE19" s="198"/>
      <c r="AF19" s="198"/>
      <c r="AG19" s="198"/>
      <c r="AH19" s="198"/>
      <c r="AI19" s="198"/>
      <c r="AJ19" s="198"/>
    </row>
    <row r="20" spans="1:51" s="199" customFormat="1" ht="15.75" customHeight="1" x14ac:dyDescent="0.25">
      <c r="A20" s="585" t="s">
        <v>131</v>
      </c>
      <c r="B20" s="586"/>
      <c r="C20" s="586"/>
      <c r="D20" s="586"/>
      <c r="E20" s="586"/>
      <c r="F20" s="586"/>
      <c r="G20" s="586"/>
      <c r="H20" s="586"/>
      <c r="I20" s="587"/>
      <c r="J20" s="220" t="s">
        <v>119</v>
      </c>
      <c r="K20" s="200" t="s">
        <v>806</v>
      </c>
      <c r="L20" s="196"/>
      <c r="M20" s="196"/>
      <c r="N20" s="196"/>
      <c r="O20" s="196"/>
      <c r="P20" s="196"/>
      <c r="Q20" s="196"/>
      <c r="R20" s="196"/>
      <c r="S20" s="196"/>
      <c r="T20" s="207"/>
      <c r="U20" s="196"/>
      <c r="V20" s="575"/>
      <c r="W20" s="576"/>
      <c r="X20" s="577"/>
      <c r="Y20" s="198"/>
      <c r="Z20" s="198"/>
      <c r="AA20" s="198"/>
      <c r="AB20" s="198"/>
      <c r="AC20" s="198"/>
      <c r="AD20" s="198"/>
      <c r="AE20" s="198"/>
      <c r="AF20" s="198"/>
      <c r="AG20" s="198"/>
      <c r="AH20" s="198"/>
      <c r="AI20" s="198"/>
      <c r="AJ20" s="198"/>
    </row>
    <row r="21" spans="1:51" s="199" customFormat="1" ht="15.75" customHeight="1" x14ac:dyDescent="0.25">
      <c r="A21" s="219"/>
      <c r="B21" s="220"/>
      <c r="C21" s="220"/>
      <c r="D21" s="220"/>
      <c r="E21" s="220"/>
      <c r="F21" s="220"/>
      <c r="G21" s="220"/>
      <c r="H21" s="220"/>
      <c r="I21" s="221"/>
      <c r="J21" s="229"/>
      <c r="K21" s="200"/>
      <c r="L21" s="196"/>
      <c r="M21" s="196"/>
      <c r="N21" s="196"/>
      <c r="O21" s="196"/>
      <c r="P21" s="196"/>
      <c r="Q21" s="196"/>
      <c r="R21" s="196"/>
      <c r="S21" s="196"/>
      <c r="T21" s="207"/>
      <c r="U21" s="196"/>
      <c r="V21" s="575"/>
      <c r="W21" s="576"/>
      <c r="X21" s="577"/>
      <c r="Y21" s="198"/>
      <c r="Z21" s="198"/>
      <c r="AA21" s="198"/>
      <c r="AB21" s="198"/>
      <c r="AC21" s="198"/>
      <c r="AD21" s="198"/>
      <c r="AE21" s="198"/>
      <c r="AF21" s="198"/>
      <c r="AG21" s="198"/>
      <c r="AH21" s="198"/>
      <c r="AI21" s="198"/>
      <c r="AJ21" s="198"/>
    </row>
    <row r="22" spans="1:51" s="199" customFormat="1" ht="15.75" x14ac:dyDescent="0.25">
      <c r="A22" s="219"/>
      <c r="B22" s="220"/>
      <c r="C22" s="220"/>
      <c r="D22" s="220"/>
      <c r="E22" s="220"/>
      <c r="F22" s="220"/>
      <c r="G22" s="220"/>
      <c r="H22" s="220"/>
      <c r="I22" s="221"/>
      <c r="J22" s="229"/>
      <c r="K22" s="600"/>
      <c r="L22" s="600"/>
      <c r="M22" s="600"/>
      <c r="N22" s="600"/>
      <c r="O22" s="600"/>
      <c r="P22" s="600"/>
      <c r="Q22" s="600"/>
      <c r="R22" s="600"/>
      <c r="S22" s="600"/>
      <c r="T22" s="600"/>
      <c r="U22" s="601"/>
      <c r="V22" s="575"/>
      <c r="W22" s="576"/>
      <c r="X22" s="577"/>
      <c r="Y22" s="198"/>
      <c r="Z22" s="198"/>
      <c r="AA22" s="198"/>
      <c r="AB22" s="198"/>
      <c r="AC22" s="198"/>
      <c r="AD22" s="198"/>
      <c r="AE22" s="198"/>
      <c r="AF22" s="198"/>
      <c r="AG22" s="198"/>
      <c r="AH22" s="198"/>
      <c r="AI22" s="198"/>
      <c r="AJ22" s="198"/>
    </row>
    <row r="23" spans="1:51" s="199" customFormat="1" ht="15.75" customHeight="1" x14ac:dyDescent="0.25">
      <c r="A23" s="219"/>
      <c r="B23" s="220"/>
      <c r="C23" s="220"/>
      <c r="D23" s="220"/>
      <c r="E23" s="220"/>
      <c r="F23" s="220"/>
      <c r="G23" s="220"/>
      <c r="H23" s="220"/>
      <c r="I23" s="221"/>
      <c r="J23" s="229"/>
      <c r="K23" s="204"/>
      <c r="L23" s="211"/>
      <c r="M23" s="211"/>
      <c r="N23" s="211"/>
      <c r="O23" s="211"/>
      <c r="P23" s="211"/>
      <c r="Q23" s="211"/>
      <c r="R23" s="211"/>
      <c r="S23" s="211"/>
      <c r="T23" s="212"/>
      <c r="U23" s="211"/>
      <c r="V23" s="575"/>
      <c r="W23" s="576"/>
      <c r="X23" s="577"/>
      <c r="Y23" s="198"/>
      <c r="Z23" s="198"/>
      <c r="AA23" s="198"/>
      <c r="AB23" s="198"/>
      <c r="AC23" s="198"/>
      <c r="AD23" s="198"/>
      <c r="AE23" s="198"/>
      <c r="AF23" s="198"/>
      <c r="AG23" s="198"/>
      <c r="AH23" s="198"/>
      <c r="AI23" s="198"/>
      <c r="AJ23" s="198"/>
    </row>
    <row r="24" spans="1:51" s="199" customFormat="1" ht="16.5" customHeight="1" x14ac:dyDescent="0.25">
      <c r="A24" s="573" t="s">
        <v>132</v>
      </c>
      <c r="B24" s="574"/>
      <c r="C24" s="574"/>
      <c r="D24" s="574"/>
      <c r="E24" s="574"/>
      <c r="F24" s="574"/>
      <c r="G24" s="574"/>
      <c r="H24" s="574"/>
      <c r="I24" s="583"/>
      <c r="J24" s="203" t="s">
        <v>119</v>
      </c>
      <c r="K24" s="200"/>
      <c r="L24" s="196"/>
      <c r="M24" s="196"/>
      <c r="N24" s="196"/>
      <c r="O24" s="196"/>
      <c r="P24" s="196"/>
      <c r="Q24" s="196"/>
      <c r="R24" s="196"/>
      <c r="S24" s="196"/>
      <c r="T24" s="207"/>
      <c r="U24" s="196"/>
      <c r="V24" s="230"/>
      <c r="W24" s="196"/>
      <c r="X24" s="197"/>
      <c r="Y24" s="198"/>
      <c r="Z24" s="198"/>
      <c r="AA24" s="198"/>
      <c r="AB24" s="198"/>
      <c r="AC24" s="198"/>
      <c r="AD24" s="198"/>
      <c r="AE24" s="198"/>
      <c r="AF24" s="198"/>
      <c r="AG24" s="198"/>
      <c r="AH24" s="198"/>
      <c r="AI24" s="198"/>
      <c r="AJ24" s="198"/>
    </row>
    <row r="25" spans="1:51" s="199" customFormat="1" ht="16.5" customHeight="1" x14ac:dyDescent="0.25">
      <c r="A25" s="208"/>
      <c r="B25" s="209"/>
      <c r="C25" s="209"/>
      <c r="D25" s="209"/>
      <c r="E25" s="209"/>
      <c r="F25" s="209"/>
      <c r="G25" s="209"/>
      <c r="H25" s="209"/>
      <c r="I25" s="225"/>
      <c r="J25" s="209"/>
      <c r="K25" s="200"/>
      <c r="L25" s="211"/>
      <c r="M25" s="211"/>
      <c r="N25" s="211"/>
      <c r="O25" s="211"/>
      <c r="P25" s="211"/>
      <c r="Q25" s="211"/>
      <c r="R25" s="211"/>
      <c r="S25" s="211"/>
      <c r="T25" s="212"/>
      <c r="U25" s="211"/>
      <c r="V25" s="230"/>
      <c r="W25" s="211"/>
      <c r="X25" s="213"/>
      <c r="Y25" s="198"/>
      <c r="Z25" s="198"/>
      <c r="AA25" s="198"/>
      <c r="AB25" s="198"/>
      <c r="AC25" s="198"/>
      <c r="AD25" s="198"/>
      <c r="AE25" s="198"/>
      <c r="AF25" s="198"/>
      <c r="AG25" s="198"/>
      <c r="AH25" s="198"/>
      <c r="AI25" s="198"/>
      <c r="AJ25" s="198"/>
    </row>
    <row r="26" spans="1:51" s="199" customFormat="1" ht="16.5" customHeight="1" x14ac:dyDescent="0.25">
      <c r="A26" s="208"/>
      <c r="B26" s="209"/>
      <c r="C26" s="209"/>
      <c r="D26" s="209"/>
      <c r="E26" s="209"/>
      <c r="F26" s="209"/>
      <c r="G26" s="209"/>
      <c r="H26" s="209"/>
      <c r="I26" s="225"/>
      <c r="J26" s="209"/>
      <c r="K26" s="200"/>
      <c r="L26" s="211"/>
      <c r="M26" s="211"/>
      <c r="N26" s="211"/>
      <c r="O26" s="211"/>
      <c r="P26" s="211"/>
      <c r="Q26" s="211"/>
      <c r="R26" s="211"/>
      <c r="S26" s="211"/>
      <c r="T26" s="212"/>
      <c r="U26" s="211"/>
      <c r="V26" s="230"/>
      <c r="W26" s="211"/>
      <c r="X26" s="213"/>
      <c r="Y26" s="198"/>
      <c r="Z26" s="198"/>
      <c r="AA26" s="198"/>
      <c r="AB26" s="198"/>
      <c r="AC26" s="198"/>
      <c r="AD26" s="198"/>
      <c r="AE26" s="198"/>
      <c r="AF26" s="198"/>
      <c r="AG26" s="198"/>
      <c r="AH26" s="198"/>
      <c r="AI26" s="198"/>
      <c r="AJ26" s="198"/>
    </row>
    <row r="27" spans="1:51" s="199" customFormat="1" ht="16.5" customHeight="1" x14ac:dyDescent="0.25">
      <c r="A27" s="208"/>
      <c r="B27" s="209"/>
      <c r="C27" s="209"/>
      <c r="D27" s="209"/>
      <c r="E27" s="209"/>
      <c r="F27" s="209"/>
      <c r="G27" s="209"/>
      <c r="H27" s="209"/>
      <c r="I27" s="225"/>
      <c r="J27" s="209"/>
      <c r="K27" s="200"/>
      <c r="L27" s="211"/>
      <c r="M27" s="211"/>
      <c r="N27" s="211"/>
      <c r="O27" s="211"/>
      <c r="P27" s="211"/>
      <c r="Q27" s="211"/>
      <c r="R27" s="211"/>
      <c r="S27" s="211"/>
      <c r="T27" s="212"/>
      <c r="U27" s="211"/>
      <c r="V27" s="231"/>
      <c r="W27" s="211"/>
      <c r="X27" s="213"/>
      <c r="Y27" s="198"/>
      <c r="Z27" s="198"/>
      <c r="AA27" s="198"/>
      <c r="AB27" s="198"/>
      <c r="AC27" s="198"/>
      <c r="AD27" s="198"/>
      <c r="AE27" s="198"/>
      <c r="AF27" s="198"/>
      <c r="AG27" s="198"/>
      <c r="AH27" s="198"/>
      <c r="AI27" s="198"/>
      <c r="AJ27" s="198"/>
    </row>
    <row r="28" spans="1:51" s="199" customFormat="1" ht="18.75" customHeight="1" x14ac:dyDescent="0.25">
      <c r="A28" s="602" t="s">
        <v>133</v>
      </c>
      <c r="B28" s="603"/>
      <c r="C28" s="603"/>
      <c r="D28" s="603"/>
      <c r="E28" s="603"/>
      <c r="F28" s="603"/>
      <c r="G28" s="603"/>
      <c r="H28" s="603"/>
      <c r="I28" s="604"/>
      <c r="J28" s="209" t="s">
        <v>119</v>
      </c>
      <c r="K28" s="200"/>
      <c r="L28" s="211"/>
      <c r="M28" s="211"/>
      <c r="N28" s="211"/>
      <c r="O28" s="211"/>
      <c r="P28" s="211"/>
      <c r="Q28" s="211"/>
      <c r="R28" s="211"/>
      <c r="S28" s="211"/>
      <c r="T28" s="212"/>
      <c r="U28" s="211"/>
      <c r="V28" s="200"/>
      <c r="W28" s="232"/>
      <c r="X28" s="233"/>
      <c r="Y28" s="198"/>
      <c r="Z28" s="198"/>
      <c r="AA28" s="198"/>
      <c r="AB28" s="198"/>
      <c r="AC28" s="198"/>
      <c r="AD28" s="198"/>
      <c r="AE28" s="198"/>
      <c r="AF28" s="198"/>
      <c r="AG28" s="198"/>
      <c r="AH28" s="198"/>
      <c r="AI28" s="198"/>
      <c r="AJ28" s="198"/>
    </row>
    <row r="29" spans="1:51" s="199" customFormat="1" ht="15.75" x14ac:dyDescent="0.25">
      <c r="A29" s="605" t="s">
        <v>134</v>
      </c>
      <c r="B29" s="606"/>
      <c r="C29" s="606"/>
      <c r="D29" s="606"/>
      <c r="E29" s="606"/>
      <c r="F29" s="606"/>
      <c r="G29" s="606"/>
      <c r="H29" s="606"/>
      <c r="I29" s="606"/>
      <c r="J29" s="606"/>
      <c r="K29" s="606"/>
      <c r="L29" s="606"/>
      <c r="M29" s="606"/>
      <c r="N29" s="606"/>
      <c r="O29" s="606"/>
      <c r="P29" s="606"/>
      <c r="Q29" s="606"/>
      <c r="R29" s="606"/>
      <c r="S29" s="606"/>
      <c r="T29" s="606"/>
      <c r="U29" s="606"/>
      <c r="V29" s="606"/>
      <c r="W29" s="606"/>
      <c r="X29" s="607"/>
    </row>
    <row r="30" spans="1:51" s="199" customFormat="1" ht="16.5" thickBot="1" x14ac:dyDescent="0.3">
      <c r="A30" s="608" t="s">
        <v>135</v>
      </c>
      <c r="B30" s="609"/>
      <c r="C30" s="609"/>
      <c r="D30" s="609"/>
      <c r="E30" s="609"/>
      <c r="F30" s="609"/>
      <c r="G30" s="609"/>
      <c r="H30" s="609"/>
      <c r="I30" s="609"/>
      <c r="J30" s="609"/>
      <c r="K30" s="609"/>
      <c r="L30" s="609"/>
      <c r="M30" s="609"/>
      <c r="N30" s="609"/>
      <c r="O30" s="609"/>
      <c r="P30" s="609"/>
      <c r="Q30" s="609"/>
      <c r="R30" s="609"/>
      <c r="S30" s="609"/>
      <c r="T30" s="609"/>
      <c r="U30" s="609"/>
      <c r="V30" s="609"/>
      <c r="W30" s="609"/>
      <c r="X30" s="610"/>
    </row>
    <row r="31" spans="1:51" s="199" customFormat="1" ht="10.5" customHeight="1" x14ac:dyDescent="0.25">
      <c r="A31" s="611" t="s">
        <v>136</v>
      </c>
      <c r="B31" s="612"/>
      <c r="C31" s="612"/>
      <c r="D31" s="612"/>
      <c r="E31" s="612"/>
      <c r="F31" s="612"/>
      <c r="G31" s="612"/>
      <c r="H31" s="613"/>
      <c r="I31" s="620" t="s">
        <v>137</v>
      </c>
      <c r="J31" s="612"/>
      <c r="K31" s="613"/>
      <c r="L31" s="620" t="s">
        <v>138</v>
      </c>
      <c r="M31" s="612"/>
      <c r="N31" s="612"/>
      <c r="O31" s="612"/>
      <c r="P31" s="612"/>
      <c r="Q31" s="612"/>
      <c r="R31" s="612"/>
      <c r="S31" s="612"/>
      <c r="T31" s="612"/>
      <c r="U31" s="612"/>
      <c r="V31" s="613"/>
      <c r="W31" s="623" t="s">
        <v>139</v>
      </c>
      <c r="X31" s="625" t="s">
        <v>140</v>
      </c>
      <c r="Y31" s="636" t="s">
        <v>567</v>
      </c>
      <c r="Z31" s="636"/>
      <c r="AA31" s="636"/>
      <c r="AB31" s="636"/>
      <c r="AC31" s="636"/>
      <c r="AD31" s="636"/>
      <c r="AE31" s="636"/>
      <c r="AF31" s="636"/>
      <c r="AG31" s="636"/>
      <c r="AH31" s="636"/>
      <c r="AI31" s="636"/>
      <c r="AJ31" s="637"/>
      <c r="AK31" s="642" t="s">
        <v>139</v>
      </c>
      <c r="AL31" s="645" t="s">
        <v>568</v>
      </c>
      <c r="AM31" s="636"/>
      <c r="AN31" s="636"/>
      <c r="AO31" s="636"/>
      <c r="AP31" s="636"/>
      <c r="AQ31" s="636"/>
      <c r="AR31" s="636"/>
      <c r="AS31" s="636"/>
      <c r="AT31" s="636"/>
      <c r="AU31" s="636"/>
      <c r="AV31" s="636"/>
      <c r="AW31" s="637"/>
      <c r="AX31" s="642" t="s">
        <v>139</v>
      </c>
      <c r="AY31" s="648" t="s">
        <v>141</v>
      </c>
    </row>
    <row r="32" spans="1:51" s="199" customFormat="1" ht="6.75" customHeight="1" x14ac:dyDescent="0.25">
      <c r="A32" s="614"/>
      <c r="B32" s="615"/>
      <c r="C32" s="615"/>
      <c r="D32" s="615"/>
      <c r="E32" s="615"/>
      <c r="F32" s="615"/>
      <c r="G32" s="615"/>
      <c r="H32" s="616"/>
      <c r="I32" s="621"/>
      <c r="J32" s="615"/>
      <c r="K32" s="616"/>
      <c r="L32" s="621"/>
      <c r="M32" s="615"/>
      <c r="N32" s="615"/>
      <c r="O32" s="615"/>
      <c r="P32" s="615"/>
      <c r="Q32" s="615"/>
      <c r="R32" s="615"/>
      <c r="S32" s="615"/>
      <c r="T32" s="615"/>
      <c r="U32" s="615"/>
      <c r="V32" s="616"/>
      <c r="W32" s="624"/>
      <c r="X32" s="626"/>
      <c r="Y32" s="638"/>
      <c r="Z32" s="638"/>
      <c r="AA32" s="638"/>
      <c r="AB32" s="638"/>
      <c r="AC32" s="638"/>
      <c r="AD32" s="638"/>
      <c r="AE32" s="638"/>
      <c r="AF32" s="638"/>
      <c r="AG32" s="638"/>
      <c r="AH32" s="638"/>
      <c r="AI32" s="638"/>
      <c r="AJ32" s="639"/>
      <c r="AK32" s="643"/>
      <c r="AL32" s="646"/>
      <c r="AM32" s="638"/>
      <c r="AN32" s="638"/>
      <c r="AO32" s="638"/>
      <c r="AP32" s="638"/>
      <c r="AQ32" s="638"/>
      <c r="AR32" s="638"/>
      <c r="AS32" s="638"/>
      <c r="AT32" s="638"/>
      <c r="AU32" s="638"/>
      <c r="AV32" s="638"/>
      <c r="AW32" s="639"/>
      <c r="AX32" s="643"/>
      <c r="AY32" s="649"/>
    </row>
    <row r="33" spans="1:51" s="199" customFormat="1" ht="10.5" customHeight="1" thickBot="1" x14ac:dyDescent="0.3">
      <c r="A33" s="614"/>
      <c r="B33" s="615"/>
      <c r="C33" s="615"/>
      <c r="D33" s="615"/>
      <c r="E33" s="615"/>
      <c r="F33" s="615"/>
      <c r="G33" s="615"/>
      <c r="H33" s="616"/>
      <c r="I33" s="621"/>
      <c r="J33" s="615"/>
      <c r="K33" s="616"/>
      <c r="L33" s="628" t="s">
        <v>79</v>
      </c>
      <c r="M33" s="629"/>
      <c r="N33" s="629"/>
      <c r="O33" s="629"/>
      <c r="P33" s="629"/>
      <c r="Q33" s="629"/>
      <c r="R33" s="629"/>
      <c r="S33" s="630"/>
      <c r="T33" s="631" t="s">
        <v>80</v>
      </c>
      <c r="U33" s="631" t="s">
        <v>81</v>
      </c>
      <c r="V33" s="631" t="s">
        <v>82</v>
      </c>
      <c r="W33" s="624"/>
      <c r="X33" s="626"/>
      <c r="Y33" s="640"/>
      <c r="Z33" s="640"/>
      <c r="AA33" s="640"/>
      <c r="AB33" s="640"/>
      <c r="AC33" s="640"/>
      <c r="AD33" s="640"/>
      <c r="AE33" s="640"/>
      <c r="AF33" s="640"/>
      <c r="AG33" s="640"/>
      <c r="AH33" s="640"/>
      <c r="AI33" s="640"/>
      <c r="AJ33" s="641"/>
      <c r="AK33" s="643"/>
      <c r="AL33" s="647"/>
      <c r="AM33" s="640"/>
      <c r="AN33" s="640"/>
      <c r="AO33" s="640"/>
      <c r="AP33" s="640"/>
      <c r="AQ33" s="640"/>
      <c r="AR33" s="640"/>
      <c r="AS33" s="640"/>
      <c r="AT33" s="640"/>
      <c r="AU33" s="640"/>
      <c r="AV33" s="640"/>
      <c r="AW33" s="641"/>
      <c r="AX33" s="643"/>
      <c r="AY33" s="649"/>
    </row>
    <row r="34" spans="1:51" s="199" customFormat="1" ht="8.25" customHeight="1" thickBot="1" x14ac:dyDescent="0.3">
      <c r="A34" s="614"/>
      <c r="B34" s="615"/>
      <c r="C34" s="615"/>
      <c r="D34" s="615"/>
      <c r="E34" s="615"/>
      <c r="F34" s="615"/>
      <c r="G34" s="615"/>
      <c r="H34" s="616"/>
      <c r="I34" s="621"/>
      <c r="J34" s="615"/>
      <c r="K34" s="616"/>
      <c r="L34" s="621"/>
      <c r="M34" s="615"/>
      <c r="N34" s="615"/>
      <c r="O34" s="615"/>
      <c r="P34" s="615"/>
      <c r="Q34" s="615"/>
      <c r="R34" s="615"/>
      <c r="S34" s="616"/>
      <c r="T34" s="632"/>
      <c r="U34" s="632"/>
      <c r="V34" s="632"/>
      <c r="W34" s="634" t="s">
        <v>142</v>
      </c>
      <c r="X34" s="626"/>
      <c r="Y34" s="653" t="s">
        <v>50</v>
      </c>
      <c r="Z34" s="655" t="s">
        <v>53</v>
      </c>
      <c r="AA34" s="655" t="s">
        <v>55</v>
      </c>
      <c r="AB34" s="655" t="s">
        <v>57</v>
      </c>
      <c r="AC34" s="657" t="s">
        <v>59</v>
      </c>
      <c r="AD34" s="657" t="s">
        <v>61</v>
      </c>
      <c r="AE34" s="657" t="s">
        <v>101</v>
      </c>
      <c r="AF34" s="657" t="s">
        <v>107</v>
      </c>
      <c r="AG34" s="651" t="s">
        <v>143</v>
      </c>
      <c r="AH34" s="651" t="s">
        <v>144</v>
      </c>
      <c r="AI34" s="651" t="s">
        <v>145</v>
      </c>
      <c r="AJ34" s="651" t="s">
        <v>146</v>
      </c>
      <c r="AK34" s="643"/>
      <c r="AL34" s="655" t="s">
        <v>50</v>
      </c>
      <c r="AM34" s="655" t="s">
        <v>53</v>
      </c>
      <c r="AN34" s="655" t="s">
        <v>55</v>
      </c>
      <c r="AO34" s="655" t="s">
        <v>57</v>
      </c>
      <c r="AP34" s="657" t="s">
        <v>59</v>
      </c>
      <c r="AQ34" s="657" t="s">
        <v>61</v>
      </c>
      <c r="AR34" s="657" t="s">
        <v>101</v>
      </c>
      <c r="AS34" s="657" t="s">
        <v>107</v>
      </c>
      <c r="AT34" s="651" t="s">
        <v>143</v>
      </c>
      <c r="AU34" s="651" t="s">
        <v>144</v>
      </c>
      <c r="AV34" s="651" t="s">
        <v>145</v>
      </c>
      <c r="AW34" s="651" t="s">
        <v>146</v>
      </c>
      <c r="AX34" s="643"/>
      <c r="AY34" s="649"/>
    </row>
    <row r="35" spans="1:51" s="199" customFormat="1" ht="12.75" customHeight="1" thickBot="1" x14ac:dyDescent="0.3">
      <c r="A35" s="617"/>
      <c r="B35" s="618"/>
      <c r="C35" s="618"/>
      <c r="D35" s="618"/>
      <c r="E35" s="618"/>
      <c r="F35" s="618"/>
      <c r="G35" s="618"/>
      <c r="H35" s="619"/>
      <c r="I35" s="622"/>
      <c r="J35" s="618"/>
      <c r="K35" s="619"/>
      <c r="L35" s="622"/>
      <c r="M35" s="618"/>
      <c r="N35" s="618"/>
      <c r="O35" s="618"/>
      <c r="P35" s="618"/>
      <c r="Q35" s="618"/>
      <c r="R35" s="618"/>
      <c r="S35" s="619"/>
      <c r="T35" s="633"/>
      <c r="U35" s="633"/>
      <c r="V35" s="633"/>
      <c r="W35" s="635"/>
      <c r="X35" s="627"/>
      <c r="Y35" s="654"/>
      <c r="Z35" s="656"/>
      <c r="AA35" s="656"/>
      <c r="AB35" s="656"/>
      <c r="AC35" s="658"/>
      <c r="AD35" s="658"/>
      <c r="AE35" s="658"/>
      <c r="AF35" s="658"/>
      <c r="AG35" s="652"/>
      <c r="AH35" s="652"/>
      <c r="AI35" s="652"/>
      <c r="AJ35" s="652"/>
      <c r="AK35" s="644"/>
      <c r="AL35" s="656"/>
      <c r="AM35" s="656"/>
      <c r="AN35" s="656"/>
      <c r="AO35" s="656"/>
      <c r="AP35" s="658"/>
      <c r="AQ35" s="658"/>
      <c r="AR35" s="658"/>
      <c r="AS35" s="658"/>
      <c r="AT35" s="652"/>
      <c r="AU35" s="652"/>
      <c r="AV35" s="652"/>
      <c r="AW35" s="652"/>
      <c r="AX35" s="644"/>
      <c r="AY35" s="650"/>
    </row>
    <row r="36" spans="1:51" s="199" customFormat="1" ht="15.75" x14ac:dyDescent="0.25">
      <c r="A36" s="661">
        <v>1</v>
      </c>
      <c r="B36" s="662"/>
      <c r="C36" s="662"/>
      <c r="D36" s="662"/>
      <c r="E36" s="662"/>
      <c r="F36" s="662"/>
      <c r="G36" s="662"/>
      <c r="H36" s="663"/>
      <c r="I36" s="664">
        <v>2</v>
      </c>
      <c r="J36" s="665"/>
      <c r="K36" s="666"/>
      <c r="L36" s="664">
        <v>3</v>
      </c>
      <c r="M36" s="665"/>
      <c r="N36" s="665"/>
      <c r="O36" s="665"/>
      <c r="P36" s="665"/>
      <c r="Q36" s="665"/>
      <c r="R36" s="665"/>
      <c r="S36" s="665"/>
      <c r="T36" s="234">
        <v>4</v>
      </c>
      <c r="U36" s="235">
        <v>5</v>
      </c>
      <c r="V36" s="236">
        <v>6</v>
      </c>
      <c r="W36" s="237" t="s">
        <v>147</v>
      </c>
      <c r="X36" s="237">
        <v>8</v>
      </c>
      <c r="Y36" s="238"/>
      <c r="Z36" s="239"/>
      <c r="AA36" s="239"/>
      <c r="AB36" s="239"/>
      <c r="AC36" s="240"/>
      <c r="AD36" s="240"/>
      <c r="AE36" s="240"/>
      <c r="AF36" s="240"/>
      <c r="AG36" s="241"/>
      <c r="AH36" s="241"/>
      <c r="AI36" s="241"/>
      <c r="AJ36" s="242"/>
      <c r="AK36" s="243"/>
      <c r="AL36" s="244"/>
      <c r="AM36" s="239"/>
      <c r="AN36" s="239"/>
      <c r="AO36" s="239"/>
      <c r="AP36" s="240"/>
      <c r="AQ36" s="240"/>
      <c r="AR36" s="240"/>
      <c r="AS36" s="240"/>
      <c r="AT36" s="241"/>
      <c r="AU36" s="241"/>
      <c r="AV36" s="241"/>
      <c r="AW36" s="242"/>
      <c r="AX36" s="243"/>
      <c r="AY36" s="245"/>
    </row>
    <row r="37" spans="1:51" s="268" customFormat="1" ht="15" customHeight="1" x14ac:dyDescent="0.25">
      <c r="A37" s="246"/>
      <c r="B37" s="247" t="s">
        <v>59</v>
      </c>
      <c r="C37" s="247"/>
      <c r="D37" s="247"/>
      <c r="E37" s="247"/>
      <c r="F37" s="247"/>
      <c r="G37" s="247"/>
      <c r="H37" s="248"/>
      <c r="I37" s="249"/>
      <c r="J37" s="250" t="s">
        <v>148</v>
      </c>
      <c r="K37" s="251"/>
      <c r="L37" s="252"/>
      <c r="M37" s="253"/>
      <c r="N37" s="253"/>
      <c r="O37" s="253"/>
      <c r="P37" s="253"/>
      <c r="Q37" s="253"/>
      <c r="R37" s="253"/>
      <c r="S37" s="253"/>
      <c r="T37" s="254"/>
      <c r="U37" s="254"/>
      <c r="V37" s="255"/>
      <c r="W37" s="256">
        <f t="shared" ref="W37:W38" si="0">W38</f>
        <v>1500000</v>
      </c>
      <c r="X37" s="257"/>
      <c r="Y37" s="258"/>
      <c r="Z37" s="259"/>
      <c r="AA37" s="260"/>
      <c r="AB37" s="261"/>
      <c r="AC37" s="262"/>
      <c r="AD37" s="262"/>
      <c r="AE37" s="262"/>
      <c r="AF37" s="262"/>
      <c r="AG37" s="263"/>
      <c r="AH37" s="263"/>
      <c r="AI37" s="263"/>
      <c r="AJ37" s="264"/>
      <c r="AK37" s="265"/>
      <c r="AL37" s="266"/>
      <c r="AM37" s="259"/>
      <c r="AN37" s="260"/>
      <c r="AO37" s="261"/>
      <c r="AP37" s="262"/>
      <c r="AQ37" s="262"/>
      <c r="AR37" s="262"/>
      <c r="AS37" s="262"/>
      <c r="AT37" s="263"/>
      <c r="AU37" s="263"/>
      <c r="AV37" s="263"/>
      <c r="AW37" s="264"/>
      <c r="AX37" s="265"/>
      <c r="AY37" s="267"/>
    </row>
    <row r="38" spans="1:51" s="268" customFormat="1" ht="15" customHeight="1" x14ac:dyDescent="0.25">
      <c r="A38" s="269"/>
      <c r="B38" s="270" t="s">
        <v>59</v>
      </c>
      <c r="C38" s="334" t="s">
        <v>50</v>
      </c>
      <c r="D38" s="271"/>
      <c r="E38" s="271"/>
      <c r="F38" s="272"/>
      <c r="G38" s="270"/>
      <c r="H38" s="273"/>
      <c r="I38" s="274"/>
      <c r="J38" s="275" t="s">
        <v>149</v>
      </c>
      <c r="K38" s="276"/>
      <c r="L38" s="277"/>
      <c r="M38" s="278"/>
      <c r="N38" s="278"/>
      <c r="O38" s="278"/>
      <c r="P38" s="278"/>
      <c r="Q38" s="278"/>
      <c r="R38" s="278"/>
      <c r="S38" s="278"/>
      <c r="T38" s="279"/>
      <c r="U38" s="279"/>
      <c r="V38" s="280"/>
      <c r="W38" s="281">
        <f t="shared" si="0"/>
        <v>1500000</v>
      </c>
      <c r="X38" s="257"/>
      <c r="Y38" s="258"/>
      <c r="Z38" s="259"/>
      <c r="AA38" s="261"/>
      <c r="AB38" s="261"/>
      <c r="AC38" s="262"/>
      <c r="AD38" s="262"/>
      <c r="AE38" s="262"/>
      <c r="AF38" s="262"/>
      <c r="AG38" s="263"/>
      <c r="AH38" s="263"/>
      <c r="AI38" s="263"/>
      <c r="AJ38" s="264"/>
      <c r="AK38" s="265"/>
      <c r="AL38" s="266"/>
      <c r="AM38" s="259"/>
      <c r="AN38" s="261"/>
      <c r="AO38" s="261"/>
      <c r="AP38" s="262"/>
      <c r="AQ38" s="262"/>
      <c r="AR38" s="262"/>
      <c r="AS38" s="262"/>
      <c r="AT38" s="263"/>
      <c r="AU38" s="263"/>
      <c r="AV38" s="263"/>
      <c r="AW38" s="264"/>
      <c r="AX38" s="265"/>
      <c r="AY38" s="267"/>
    </row>
    <row r="39" spans="1:51" s="268" customFormat="1" ht="15" customHeight="1" x14ac:dyDescent="0.25">
      <c r="A39" s="269"/>
      <c r="B39" s="270" t="s">
        <v>59</v>
      </c>
      <c r="C39" s="334" t="s">
        <v>50</v>
      </c>
      <c r="D39" s="288" t="s">
        <v>67</v>
      </c>
      <c r="E39" s="271"/>
      <c r="F39" s="271"/>
      <c r="G39" s="270"/>
      <c r="H39" s="273"/>
      <c r="I39" s="282"/>
      <c r="J39" s="283" t="s">
        <v>150</v>
      </c>
      <c r="K39" s="284"/>
      <c r="L39" s="285"/>
      <c r="M39" s="286"/>
      <c r="N39" s="286"/>
      <c r="O39" s="286"/>
      <c r="P39" s="286"/>
      <c r="Q39" s="286"/>
      <c r="R39" s="286"/>
      <c r="S39" s="286"/>
      <c r="T39" s="279"/>
      <c r="U39" s="279"/>
      <c r="V39" s="280"/>
      <c r="W39" s="281">
        <f>W40</f>
        <v>1500000</v>
      </c>
      <c r="X39" s="287"/>
      <c r="Y39" s="258"/>
      <c r="Z39" s="259"/>
      <c r="AA39" s="261"/>
      <c r="AB39" s="261"/>
      <c r="AC39" s="262"/>
      <c r="AD39" s="262"/>
      <c r="AE39" s="262"/>
      <c r="AF39" s="262"/>
      <c r="AG39" s="263"/>
      <c r="AH39" s="263"/>
      <c r="AI39" s="263"/>
      <c r="AJ39" s="264"/>
      <c r="AK39" s="265"/>
      <c r="AL39" s="266"/>
      <c r="AM39" s="259"/>
      <c r="AN39" s="261"/>
      <c r="AO39" s="261"/>
      <c r="AP39" s="262"/>
      <c r="AQ39" s="262"/>
      <c r="AR39" s="262"/>
      <c r="AS39" s="262"/>
      <c r="AT39" s="263"/>
      <c r="AU39" s="263"/>
      <c r="AV39" s="263"/>
      <c r="AW39" s="264"/>
      <c r="AX39" s="265"/>
      <c r="AY39" s="267"/>
    </row>
    <row r="40" spans="1:51" s="305" customFormat="1" ht="15" customHeight="1" x14ac:dyDescent="0.25">
      <c r="A40" s="269"/>
      <c r="B40" s="270" t="s">
        <v>59</v>
      </c>
      <c r="C40" s="270" t="s">
        <v>50</v>
      </c>
      <c r="D40" s="288" t="s">
        <v>67</v>
      </c>
      <c r="E40" s="288" t="s">
        <v>67</v>
      </c>
      <c r="F40" s="271"/>
      <c r="G40" s="270"/>
      <c r="H40" s="273"/>
      <c r="I40" s="289"/>
      <c r="J40" s="283" t="s">
        <v>153</v>
      </c>
      <c r="K40" s="290"/>
      <c r="L40" s="291"/>
      <c r="M40" s="292"/>
      <c r="N40" s="292"/>
      <c r="O40" s="292"/>
      <c r="P40" s="292"/>
      <c r="Q40" s="292"/>
      <c r="R40" s="292"/>
      <c r="S40" s="292"/>
      <c r="T40" s="293"/>
      <c r="U40" s="293"/>
      <c r="V40" s="294"/>
      <c r="W40" s="295">
        <f>W41</f>
        <v>1500000</v>
      </c>
      <c r="X40" s="296"/>
      <c r="Y40" s="297"/>
      <c r="Z40" s="259"/>
      <c r="AA40" s="298"/>
      <c r="AB40" s="298"/>
      <c r="AC40" s="299"/>
      <c r="AD40" s="299"/>
      <c r="AE40" s="299"/>
      <c r="AF40" s="299"/>
      <c r="AG40" s="300"/>
      <c r="AH40" s="300"/>
      <c r="AI40" s="300"/>
      <c r="AJ40" s="301"/>
      <c r="AK40" s="335"/>
      <c r="AL40" s="303"/>
      <c r="AM40" s="259"/>
      <c r="AN40" s="298"/>
      <c r="AO40" s="298"/>
      <c r="AP40" s="299"/>
      <c r="AQ40" s="299"/>
      <c r="AR40" s="299"/>
      <c r="AS40" s="299"/>
      <c r="AT40" s="300"/>
      <c r="AU40" s="300"/>
      <c r="AV40" s="300"/>
      <c r="AW40" s="301"/>
      <c r="AX40" s="335"/>
      <c r="AY40" s="336"/>
    </row>
    <row r="41" spans="1:51" s="305" customFormat="1" ht="15" customHeight="1" x14ac:dyDescent="0.25">
      <c r="A41" s="269"/>
      <c r="B41" s="270" t="s">
        <v>59</v>
      </c>
      <c r="C41" s="270" t="s">
        <v>50</v>
      </c>
      <c r="D41" s="288" t="s">
        <v>67</v>
      </c>
      <c r="E41" s="288" t="s">
        <v>67</v>
      </c>
      <c r="F41" s="271" t="s">
        <v>760</v>
      </c>
      <c r="G41" s="270"/>
      <c r="H41" s="273"/>
      <c r="I41" s="289"/>
      <c r="J41" s="283" t="s">
        <v>807</v>
      </c>
      <c r="K41" s="290"/>
      <c r="L41" s="291"/>
      <c r="M41" s="292"/>
      <c r="N41" s="292"/>
      <c r="O41" s="292"/>
      <c r="P41" s="292"/>
      <c r="Q41" s="292"/>
      <c r="R41" s="292"/>
      <c r="S41" s="292"/>
      <c r="T41" s="293"/>
      <c r="U41" s="293"/>
      <c r="V41" s="294"/>
      <c r="W41" s="295">
        <f>W42</f>
        <v>1500000</v>
      </c>
      <c r="X41" s="296"/>
      <c r="Y41" s="297"/>
      <c r="Z41" s="259"/>
      <c r="AA41" s="298"/>
      <c r="AB41" s="298"/>
      <c r="AC41" s="299"/>
      <c r="AD41" s="299"/>
      <c r="AE41" s="299"/>
      <c r="AF41" s="299"/>
      <c r="AG41" s="300"/>
      <c r="AH41" s="300"/>
      <c r="AI41" s="300"/>
      <c r="AJ41" s="301"/>
      <c r="AK41" s="335"/>
      <c r="AL41" s="303"/>
      <c r="AM41" s="259"/>
      <c r="AN41" s="298"/>
      <c r="AO41" s="298"/>
      <c r="AP41" s="299"/>
      <c r="AQ41" s="299"/>
      <c r="AR41" s="299"/>
      <c r="AS41" s="299"/>
      <c r="AT41" s="300"/>
      <c r="AU41" s="300"/>
      <c r="AV41" s="300"/>
      <c r="AW41" s="301"/>
      <c r="AX41" s="335"/>
      <c r="AY41" s="336"/>
    </row>
    <row r="42" spans="1:51" s="330" customFormat="1" ht="15" customHeight="1" x14ac:dyDescent="0.25">
      <c r="A42" s="306"/>
      <c r="B42" s="307" t="s">
        <v>59</v>
      </c>
      <c r="C42" s="307" t="s">
        <v>50</v>
      </c>
      <c r="D42" s="309" t="s">
        <v>67</v>
      </c>
      <c r="E42" s="309" t="s">
        <v>67</v>
      </c>
      <c r="F42" s="308" t="s">
        <v>760</v>
      </c>
      <c r="G42" s="310" t="s">
        <v>696</v>
      </c>
      <c r="H42" s="311"/>
      <c r="I42" s="312"/>
      <c r="J42" s="331" t="s">
        <v>808</v>
      </c>
      <c r="K42" s="314"/>
      <c r="L42" s="315"/>
      <c r="M42" s="316"/>
      <c r="N42" s="316"/>
      <c r="O42" s="316"/>
      <c r="P42" s="316"/>
      <c r="Q42" s="316"/>
      <c r="R42" s="316"/>
      <c r="S42" s="316"/>
      <c r="T42" s="317"/>
      <c r="U42" s="317"/>
      <c r="V42" s="318"/>
      <c r="W42" s="319">
        <f>W43</f>
        <v>1500000</v>
      </c>
      <c r="X42" s="320"/>
      <c r="Y42" s="321"/>
      <c r="Z42" s="322"/>
      <c r="AA42" s="323"/>
      <c r="AB42" s="323"/>
      <c r="AC42" s="324"/>
      <c r="AD42" s="324"/>
      <c r="AE42" s="324"/>
      <c r="AF42" s="324"/>
      <c r="AG42" s="325"/>
      <c r="AH42" s="325"/>
      <c r="AI42" s="325"/>
      <c r="AJ42" s="326"/>
      <c r="AK42" s="332"/>
      <c r="AL42" s="328"/>
      <c r="AM42" s="322"/>
      <c r="AN42" s="323"/>
      <c r="AO42" s="323"/>
      <c r="AP42" s="324"/>
      <c r="AQ42" s="324"/>
      <c r="AR42" s="324"/>
      <c r="AS42" s="324"/>
      <c r="AT42" s="325"/>
      <c r="AU42" s="325"/>
      <c r="AV42" s="325"/>
      <c r="AW42" s="326"/>
      <c r="AX42" s="332"/>
      <c r="AY42" s="333"/>
    </row>
    <row r="43" spans="1:51" s="330" customFormat="1" ht="15" customHeight="1" x14ac:dyDescent="0.25">
      <c r="A43" s="306"/>
      <c r="B43" s="307"/>
      <c r="C43" s="307"/>
      <c r="D43" s="308"/>
      <c r="E43" s="308"/>
      <c r="F43" s="308"/>
      <c r="G43" s="307"/>
      <c r="H43" s="311"/>
      <c r="I43" s="312"/>
      <c r="J43" s="331" t="s">
        <v>809</v>
      </c>
      <c r="K43" s="314"/>
      <c r="L43" s="316"/>
      <c r="M43" s="316"/>
      <c r="N43" s="316"/>
      <c r="O43" s="316"/>
      <c r="P43" s="316"/>
      <c r="Q43" s="316"/>
      <c r="R43" s="316">
        <v>1</v>
      </c>
      <c r="S43" s="316" t="s">
        <v>792</v>
      </c>
      <c r="T43" s="317">
        <f>R43</f>
        <v>1</v>
      </c>
      <c r="U43" s="317" t="s">
        <v>792</v>
      </c>
      <c r="V43" s="318">
        <v>1500000</v>
      </c>
      <c r="W43" s="484">
        <f>V43*T43</f>
        <v>1500000</v>
      </c>
      <c r="X43" s="320" t="s">
        <v>649</v>
      </c>
      <c r="Y43" s="321"/>
      <c r="Z43" s="322"/>
      <c r="AA43" s="323"/>
      <c r="AB43" s="323"/>
      <c r="AC43" s="324"/>
      <c r="AD43" s="324"/>
      <c r="AE43" s="324">
        <f>W43</f>
        <v>1500000</v>
      </c>
      <c r="AF43" s="324"/>
      <c r="AG43" s="325"/>
      <c r="AH43" s="325"/>
      <c r="AI43" s="325"/>
      <c r="AJ43" s="326"/>
      <c r="AK43" s="332">
        <f t="shared" ref="AK43" si="1">SUM(Y43:AJ43)</f>
        <v>1500000</v>
      </c>
      <c r="AL43" s="328"/>
      <c r="AM43" s="322"/>
      <c r="AN43" s="323"/>
      <c r="AO43" s="323"/>
      <c r="AP43" s="324"/>
      <c r="AQ43" s="324"/>
      <c r="AR43" s="324"/>
      <c r="AS43" s="324"/>
      <c r="AT43" s="325"/>
      <c r="AU43" s="325"/>
      <c r="AV43" s="325"/>
      <c r="AW43" s="326"/>
      <c r="AX43" s="332">
        <f t="shared" ref="AX43" si="2">SUM(AL43:AW43)</f>
        <v>0</v>
      </c>
      <c r="AY43" s="333">
        <f t="shared" ref="AY43" si="3">AK43-AX43</f>
        <v>1500000</v>
      </c>
    </row>
    <row r="44" spans="1:51" s="345" customFormat="1" ht="15" customHeight="1" x14ac:dyDescent="0.25">
      <c r="A44" s="306"/>
      <c r="B44" s="307"/>
      <c r="C44" s="307"/>
      <c r="D44" s="308"/>
      <c r="E44" s="308"/>
      <c r="F44" s="308"/>
      <c r="G44" s="307"/>
      <c r="H44" s="311"/>
      <c r="I44" s="347"/>
      <c r="J44" s="313"/>
      <c r="K44" s="284"/>
      <c r="L44" s="285"/>
      <c r="M44" s="286"/>
      <c r="N44" s="286"/>
      <c r="O44" s="286"/>
      <c r="P44" s="286"/>
      <c r="Q44" s="286"/>
      <c r="R44" s="286"/>
      <c r="S44" s="286"/>
      <c r="T44" s="279"/>
      <c r="U44" s="279"/>
      <c r="V44" s="280"/>
      <c r="W44" s="346"/>
      <c r="X44" s="348"/>
      <c r="Y44" s="337"/>
      <c r="Z44" s="338"/>
      <c r="AA44" s="338"/>
      <c r="AB44" s="338"/>
      <c r="AC44" s="339"/>
      <c r="AD44" s="339"/>
      <c r="AE44" s="339"/>
      <c r="AF44" s="339"/>
      <c r="AG44" s="340"/>
      <c r="AH44" s="340"/>
      <c r="AI44" s="340"/>
      <c r="AJ44" s="341"/>
      <c r="AK44" s="343"/>
      <c r="AL44" s="342"/>
      <c r="AM44" s="338"/>
      <c r="AN44" s="338"/>
      <c r="AO44" s="338"/>
      <c r="AP44" s="339"/>
      <c r="AQ44" s="339"/>
      <c r="AR44" s="339"/>
      <c r="AS44" s="339"/>
      <c r="AT44" s="340"/>
      <c r="AU44" s="340"/>
      <c r="AV44" s="340"/>
      <c r="AW44" s="341"/>
      <c r="AX44" s="343"/>
      <c r="AY44" s="344"/>
    </row>
    <row r="45" spans="1:51" s="268" customFormat="1" ht="15" customHeight="1" thickBot="1" x14ac:dyDescent="0.3">
      <c r="A45" s="349"/>
      <c r="B45" s="350"/>
      <c r="C45" s="350"/>
      <c r="D45" s="351"/>
      <c r="E45" s="351"/>
      <c r="F45" s="351"/>
      <c r="G45" s="350"/>
      <c r="H45" s="352"/>
      <c r="I45" s="353"/>
      <c r="J45" s="354"/>
      <c r="K45" s="314"/>
      <c r="L45" s="331"/>
      <c r="M45" s="355"/>
      <c r="N45" s="355"/>
      <c r="O45" s="355"/>
      <c r="P45" s="355"/>
      <c r="Q45" s="355"/>
      <c r="R45" s="355"/>
      <c r="S45" s="355"/>
      <c r="T45" s="356"/>
      <c r="U45" s="317"/>
      <c r="V45" s="357"/>
      <c r="W45" s="358"/>
      <c r="X45" s="348"/>
      <c r="Y45" s="359"/>
      <c r="Z45" s="360"/>
      <c r="AA45" s="360"/>
      <c r="AB45" s="360"/>
      <c r="AC45" s="361"/>
      <c r="AD45" s="361"/>
      <c r="AE45" s="361"/>
      <c r="AF45" s="361"/>
      <c r="AG45" s="362"/>
      <c r="AH45" s="362"/>
      <c r="AI45" s="362"/>
      <c r="AJ45" s="363"/>
      <c r="AK45" s="265"/>
      <c r="AL45" s="364"/>
      <c r="AM45" s="360"/>
      <c r="AN45" s="360"/>
      <c r="AO45" s="360"/>
      <c r="AP45" s="361"/>
      <c r="AQ45" s="361"/>
      <c r="AR45" s="361"/>
      <c r="AS45" s="361"/>
      <c r="AT45" s="362"/>
      <c r="AU45" s="362"/>
      <c r="AV45" s="362"/>
      <c r="AW45" s="363"/>
      <c r="AX45" s="265"/>
      <c r="AY45" s="267"/>
    </row>
    <row r="46" spans="1:51" s="379" customFormat="1" ht="20.25" customHeight="1" thickBot="1" x14ac:dyDescent="0.3">
      <c r="A46" s="365" t="s">
        <v>157</v>
      </c>
      <c r="B46" s="366"/>
      <c r="C46" s="367"/>
      <c r="D46" s="367"/>
      <c r="E46" s="367"/>
      <c r="F46" s="367"/>
      <c r="G46" s="367"/>
      <c r="H46" s="367"/>
      <c r="I46" s="367"/>
      <c r="J46" s="367"/>
      <c r="K46" s="367"/>
      <c r="L46" s="367"/>
      <c r="M46" s="367"/>
      <c r="N46" s="367"/>
      <c r="O46" s="367"/>
      <c r="P46" s="367"/>
      <c r="Q46" s="367"/>
      <c r="R46" s="367"/>
      <c r="S46" s="367"/>
      <c r="T46" s="367"/>
      <c r="U46" s="367"/>
      <c r="V46" s="368"/>
      <c r="W46" s="369">
        <f>W37</f>
        <v>1500000</v>
      </c>
      <c r="X46" s="370"/>
      <c r="Y46" s="371"/>
      <c r="Z46" s="372"/>
      <c r="AA46" s="372"/>
      <c r="AB46" s="372"/>
      <c r="AC46" s="373"/>
      <c r="AD46" s="373"/>
      <c r="AE46" s="373"/>
      <c r="AF46" s="373"/>
      <c r="AG46" s="374"/>
      <c r="AH46" s="374"/>
      <c r="AI46" s="374"/>
      <c r="AJ46" s="375"/>
      <c r="AK46" s="376">
        <f>SUM(AK36:AK45)</f>
        <v>1500000</v>
      </c>
      <c r="AL46" s="377"/>
      <c r="AM46" s="372"/>
      <c r="AN46" s="372"/>
      <c r="AO46" s="372"/>
      <c r="AP46" s="373"/>
      <c r="AQ46" s="373"/>
      <c r="AR46" s="373"/>
      <c r="AS46" s="373"/>
      <c r="AT46" s="374"/>
      <c r="AU46" s="374"/>
      <c r="AV46" s="374"/>
      <c r="AW46" s="375"/>
      <c r="AX46" s="376">
        <f>SUM(AX36:AX45)</f>
        <v>0</v>
      </c>
      <c r="AY46" s="378">
        <f>SUM(AY36:AY45)</f>
        <v>1500000</v>
      </c>
    </row>
    <row r="47" spans="1:51" s="268" customFormat="1" ht="15.75" x14ac:dyDescent="0.25">
      <c r="A47" s="219" t="s">
        <v>158</v>
      </c>
      <c r="B47" s="380"/>
      <c r="C47" s="380"/>
      <c r="D47" s="380"/>
      <c r="E47" s="380"/>
      <c r="F47" s="380"/>
      <c r="G47" s="380"/>
      <c r="H47" s="380"/>
      <c r="I47" s="380"/>
      <c r="J47" s="380"/>
      <c r="K47" s="381"/>
      <c r="L47" s="382"/>
      <c r="M47" s="380"/>
      <c r="N47" s="380"/>
      <c r="O47" s="380"/>
      <c r="P47" s="380"/>
      <c r="Q47" s="380"/>
      <c r="R47" s="380"/>
      <c r="S47" s="380"/>
      <c r="T47" s="383"/>
      <c r="U47" s="384"/>
      <c r="V47" s="384"/>
      <c r="W47" s="384"/>
      <c r="X47" s="385"/>
      <c r="Y47" s="386"/>
      <c r="Z47" s="387"/>
      <c r="AA47" s="387"/>
      <c r="AB47" s="387"/>
      <c r="AC47" s="387"/>
      <c r="AD47" s="387"/>
      <c r="AE47" s="387"/>
      <c r="AF47" s="387"/>
      <c r="AG47" s="387"/>
      <c r="AH47" s="387"/>
      <c r="AI47" s="387"/>
      <c r="AJ47" s="387"/>
    </row>
    <row r="48" spans="1:51" s="268" customFormat="1" ht="15.75" x14ac:dyDescent="0.25">
      <c r="A48" s="219" t="s">
        <v>159</v>
      </c>
      <c r="B48" s="220"/>
      <c r="C48" s="380"/>
      <c r="D48" s="660" t="s">
        <v>160</v>
      </c>
      <c r="E48" s="660"/>
      <c r="F48" s="660"/>
      <c r="G48" s="660"/>
      <c r="H48" s="660"/>
      <c r="I48" s="388"/>
      <c r="J48" s="388"/>
      <c r="K48" s="389"/>
      <c r="L48" s="390"/>
      <c r="M48" s="391"/>
      <c r="N48" s="391"/>
      <c r="O48" s="391"/>
      <c r="P48" s="391"/>
      <c r="Q48" s="391"/>
      <c r="R48" s="391"/>
      <c r="S48" s="391"/>
      <c r="T48" s="380"/>
      <c r="U48" s="388"/>
      <c r="V48" s="392" t="s">
        <v>841</v>
      </c>
      <c r="W48" s="393"/>
      <c r="X48" s="394"/>
      <c r="Y48" s="387"/>
      <c r="Z48" s="387"/>
      <c r="AA48" s="387" t="s">
        <v>161</v>
      </c>
      <c r="AB48" s="387"/>
      <c r="AC48" s="387"/>
      <c r="AD48" s="387"/>
      <c r="AE48" s="387"/>
      <c r="AF48" s="387"/>
      <c r="AG48" s="387"/>
      <c r="AH48" s="387"/>
      <c r="AI48" s="387"/>
      <c r="AJ48" s="387"/>
    </row>
    <row r="49" spans="1:36" s="268" customFormat="1" ht="12" customHeight="1" x14ac:dyDescent="0.25">
      <c r="A49" s="219" t="s">
        <v>162</v>
      </c>
      <c r="B49" s="220"/>
      <c r="C49" s="380"/>
      <c r="D49" s="660" t="s">
        <v>160</v>
      </c>
      <c r="E49" s="660"/>
      <c r="F49" s="660"/>
      <c r="G49" s="660"/>
      <c r="H49" s="660"/>
      <c r="I49" s="388"/>
      <c r="J49" s="388"/>
      <c r="K49" s="389"/>
      <c r="L49" s="390"/>
      <c r="M49" s="391"/>
      <c r="N49" s="391"/>
      <c r="O49" s="391"/>
      <c r="P49" s="391"/>
      <c r="Q49" s="391"/>
      <c r="R49" s="391"/>
      <c r="S49" s="391"/>
      <c r="T49" s="380"/>
      <c r="U49" s="384"/>
      <c r="V49" s="395" t="s">
        <v>26</v>
      </c>
      <c r="W49" s="393"/>
      <c r="X49" s="394"/>
      <c r="Y49" s="387"/>
      <c r="Z49" s="387"/>
      <c r="AA49" s="387"/>
      <c r="AB49" s="387"/>
      <c r="AC49" s="387"/>
      <c r="AD49" s="387"/>
      <c r="AE49" s="387"/>
      <c r="AF49" s="387"/>
      <c r="AG49" s="387"/>
      <c r="AH49" s="387"/>
      <c r="AI49" s="387"/>
      <c r="AJ49" s="387"/>
    </row>
    <row r="50" spans="1:36" s="268" customFormat="1" ht="15.75" x14ac:dyDescent="0.25">
      <c r="A50" s="219" t="s">
        <v>163</v>
      </c>
      <c r="B50" s="220"/>
      <c r="C50" s="380"/>
      <c r="D50" s="660" t="s">
        <v>160</v>
      </c>
      <c r="E50" s="660"/>
      <c r="F50" s="660"/>
      <c r="G50" s="660"/>
      <c r="H50" s="660"/>
      <c r="I50" s="388"/>
      <c r="J50" s="388"/>
      <c r="K50" s="389"/>
      <c r="L50" s="390"/>
      <c r="M50" s="391"/>
      <c r="N50" s="391"/>
      <c r="O50" s="391"/>
      <c r="P50" s="391"/>
      <c r="Q50" s="391"/>
      <c r="R50" s="391"/>
      <c r="S50" s="391"/>
      <c r="T50" s="380"/>
      <c r="U50" s="384"/>
      <c r="V50" s="395"/>
      <c r="W50" s="393"/>
      <c r="X50" s="394"/>
      <c r="Y50" s="387"/>
      <c r="Z50" s="387"/>
      <c r="AA50" s="387"/>
      <c r="AB50" s="387"/>
      <c r="AC50" s="387"/>
      <c r="AD50" s="387"/>
      <c r="AE50" s="387"/>
      <c r="AF50" s="387"/>
      <c r="AG50" s="387"/>
      <c r="AH50" s="387"/>
      <c r="AI50" s="387"/>
      <c r="AJ50" s="387"/>
    </row>
    <row r="51" spans="1:36" s="268" customFormat="1" ht="15.75" x14ac:dyDescent="0.25">
      <c r="A51" s="219"/>
      <c r="B51" s="220"/>
      <c r="C51" s="380"/>
      <c r="D51" s="659"/>
      <c r="E51" s="659"/>
      <c r="F51" s="659"/>
      <c r="G51" s="659"/>
      <c r="H51" s="659"/>
      <c r="I51" s="388"/>
      <c r="J51" s="388"/>
      <c r="K51" s="396"/>
      <c r="L51" s="390"/>
      <c r="M51" s="391"/>
      <c r="N51" s="391"/>
      <c r="O51" s="391"/>
      <c r="P51" s="391"/>
      <c r="Q51" s="391"/>
      <c r="R51" s="391"/>
      <c r="S51" s="391"/>
      <c r="T51" s="380"/>
      <c r="U51" s="393"/>
      <c r="V51" s="395"/>
      <c r="W51" s="393"/>
      <c r="X51" s="394"/>
      <c r="Y51" s="387"/>
      <c r="Z51" s="387"/>
      <c r="AA51" s="387"/>
      <c r="AB51" s="387"/>
      <c r="AC51" s="387"/>
      <c r="AD51" s="387"/>
      <c r="AE51" s="387"/>
      <c r="AF51" s="387"/>
      <c r="AG51" s="387"/>
      <c r="AH51" s="387"/>
      <c r="AI51" s="387"/>
      <c r="AJ51" s="387"/>
    </row>
    <row r="52" spans="1:36" s="268" customFormat="1" ht="15.75" x14ac:dyDescent="0.25">
      <c r="A52" s="219" t="s">
        <v>87</v>
      </c>
      <c r="B52" s="220"/>
      <c r="C52" s="380"/>
      <c r="D52" s="660" t="s">
        <v>160</v>
      </c>
      <c r="E52" s="660"/>
      <c r="F52" s="660"/>
      <c r="G52" s="660"/>
      <c r="H52" s="660"/>
      <c r="I52" s="388"/>
      <c r="J52" s="388"/>
      <c r="K52" s="396"/>
      <c r="L52" s="390"/>
      <c r="M52" s="391"/>
      <c r="N52" s="391"/>
      <c r="O52" s="391"/>
      <c r="P52" s="391"/>
      <c r="Q52" s="391"/>
      <c r="R52" s="391"/>
      <c r="S52" s="391"/>
      <c r="T52" s="380"/>
      <c r="U52" s="393"/>
      <c r="V52" s="397"/>
      <c r="W52" s="398"/>
      <c r="X52" s="394"/>
      <c r="Y52" s="387"/>
      <c r="Z52" s="387"/>
      <c r="AA52" s="387"/>
      <c r="AB52" s="387"/>
      <c r="AC52" s="387"/>
      <c r="AD52" s="387"/>
      <c r="AE52" s="387"/>
      <c r="AF52" s="387"/>
      <c r="AG52" s="387"/>
      <c r="AH52" s="387"/>
      <c r="AI52" s="387"/>
      <c r="AJ52" s="387"/>
    </row>
    <row r="53" spans="1:36" s="268" customFormat="1" ht="15.75" x14ac:dyDescent="0.25">
      <c r="A53" s="399"/>
      <c r="B53" s="380"/>
      <c r="C53" s="380"/>
      <c r="D53" s="380"/>
      <c r="E53" s="380"/>
      <c r="F53" s="380"/>
      <c r="G53" s="380"/>
      <c r="H53" s="380"/>
      <c r="I53" s="388"/>
      <c r="J53" s="388"/>
      <c r="K53" s="396"/>
      <c r="L53" s="390"/>
      <c r="M53" s="391"/>
      <c r="N53" s="391"/>
      <c r="O53" s="391"/>
      <c r="P53" s="391"/>
      <c r="Q53" s="391"/>
      <c r="R53" s="391"/>
      <c r="S53" s="391"/>
      <c r="T53" s="380"/>
      <c r="U53" s="223"/>
      <c r="V53" s="400" t="s">
        <v>28</v>
      </c>
      <c r="W53" s="401"/>
      <c r="X53" s="394"/>
      <c r="Y53" s="387"/>
      <c r="Z53" s="387"/>
      <c r="AA53" s="387"/>
      <c r="AB53" s="387"/>
      <c r="AC53" s="387"/>
      <c r="AD53" s="387"/>
      <c r="AE53" s="387"/>
      <c r="AF53" s="387"/>
      <c r="AG53" s="387"/>
      <c r="AH53" s="387"/>
      <c r="AI53" s="387"/>
      <c r="AJ53" s="387"/>
    </row>
    <row r="54" spans="1:36" s="268" customFormat="1" ht="15.75" x14ac:dyDescent="0.25">
      <c r="A54" s="399"/>
      <c r="B54" s="380"/>
      <c r="C54" s="380"/>
      <c r="D54" s="380"/>
      <c r="E54" s="380"/>
      <c r="F54" s="380"/>
      <c r="G54" s="380"/>
      <c r="H54" s="380"/>
      <c r="I54" s="393"/>
      <c r="J54" s="388"/>
      <c r="K54" s="389"/>
      <c r="L54" s="390"/>
      <c r="M54" s="391"/>
      <c r="N54" s="391"/>
      <c r="O54" s="391"/>
      <c r="P54" s="391"/>
      <c r="Q54" s="391"/>
      <c r="R54" s="391"/>
      <c r="S54" s="391"/>
      <c r="T54" s="380"/>
      <c r="U54" s="223"/>
      <c r="V54" s="402" t="s">
        <v>76</v>
      </c>
      <c r="W54" s="393"/>
      <c r="X54" s="394"/>
      <c r="Y54" s="387"/>
      <c r="Z54" s="387"/>
      <c r="AA54" s="387"/>
      <c r="AB54" s="387"/>
      <c r="AC54" s="387"/>
      <c r="AD54" s="387"/>
      <c r="AE54" s="387"/>
      <c r="AF54" s="387"/>
      <c r="AG54" s="387"/>
      <c r="AH54" s="387"/>
      <c r="AI54" s="387"/>
      <c r="AJ54" s="387"/>
    </row>
    <row r="55" spans="1:36" s="268" customFormat="1" ht="11.25" customHeight="1" thickBot="1" x14ac:dyDescent="0.3">
      <c r="A55" s="403"/>
      <c r="B55" s="404"/>
      <c r="C55" s="404"/>
      <c r="D55" s="404"/>
      <c r="E55" s="404"/>
      <c r="F55" s="404"/>
      <c r="G55" s="404"/>
      <c r="H55" s="404"/>
      <c r="I55" s="405"/>
      <c r="J55" s="405"/>
      <c r="K55" s="406"/>
      <c r="L55" s="407"/>
      <c r="M55" s="405"/>
      <c r="N55" s="405"/>
      <c r="O55" s="405"/>
      <c r="P55" s="405"/>
      <c r="Q55" s="405"/>
      <c r="R55" s="405"/>
      <c r="S55" s="405"/>
      <c r="T55" s="408"/>
      <c r="U55" s="409"/>
      <c r="V55" s="410"/>
      <c r="W55" s="410"/>
      <c r="X55" s="411"/>
      <c r="Y55" s="387"/>
      <c r="Z55" s="387"/>
      <c r="AA55" s="387"/>
      <c r="AB55" s="387"/>
      <c r="AC55" s="387"/>
      <c r="AD55" s="387"/>
      <c r="AE55" s="387"/>
      <c r="AF55" s="387"/>
      <c r="AG55" s="387"/>
      <c r="AH55" s="387"/>
      <c r="AI55" s="387"/>
      <c r="AJ55" s="387"/>
    </row>
    <row r="56" spans="1:36" s="199" customFormat="1" ht="15.75" x14ac:dyDescent="0.25">
      <c r="A56" s="412"/>
      <c r="B56" s="412"/>
      <c r="C56" s="412"/>
      <c r="D56" s="412"/>
      <c r="E56" s="412"/>
      <c r="F56" s="412"/>
      <c r="G56" s="412"/>
      <c r="H56" s="412"/>
      <c r="I56" s="413"/>
      <c r="J56" s="413"/>
      <c r="K56" s="413"/>
      <c r="L56" s="414"/>
      <c r="M56" s="412"/>
      <c r="N56" s="412"/>
      <c r="O56" s="412"/>
      <c r="P56" s="412"/>
      <c r="Q56" s="412"/>
      <c r="R56" s="412"/>
      <c r="S56" s="412"/>
      <c r="T56" s="412"/>
      <c r="U56" s="413"/>
      <c r="V56" s="413"/>
      <c r="W56" s="413"/>
      <c r="X56" s="413"/>
      <c r="Y56" s="198"/>
      <c r="Z56" s="198"/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</row>
    <row r="57" spans="1:36" s="199" customFormat="1" ht="15.75" x14ac:dyDescent="0.25">
      <c r="A57" s="412"/>
      <c r="B57" s="412"/>
      <c r="C57" s="412"/>
      <c r="D57" s="412"/>
      <c r="E57" s="412"/>
      <c r="F57" s="412"/>
      <c r="G57" s="412"/>
      <c r="H57" s="412"/>
      <c r="I57" s="413"/>
      <c r="J57" s="413"/>
      <c r="K57" s="413"/>
      <c r="L57" s="414"/>
      <c r="M57" s="412"/>
      <c r="N57" s="412"/>
      <c r="O57" s="412"/>
      <c r="P57" s="412"/>
      <c r="Q57" s="412"/>
      <c r="R57" s="412"/>
      <c r="S57" s="412"/>
      <c r="T57" s="412"/>
      <c r="U57" s="413"/>
      <c r="V57" s="413"/>
      <c r="W57" s="413"/>
      <c r="X57" s="413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</row>
    <row r="58" spans="1:36" s="199" customFormat="1" ht="15.75" x14ac:dyDescent="0.25">
      <c r="A58" s="412"/>
      <c r="B58" s="412"/>
      <c r="C58" s="412"/>
      <c r="D58" s="412"/>
      <c r="E58" s="412"/>
      <c r="F58" s="412"/>
      <c r="G58" s="412"/>
      <c r="H58" s="412"/>
      <c r="I58" s="413"/>
      <c r="J58" s="413"/>
      <c r="K58" s="413"/>
      <c r="L58" s="414"/>
      <c r="M58" s="412"/>
      <c r="N58" s="412"/>
      <c r="O58" s="412"/>
      <c r="P58" s="412"/>
      <c r="Q58" s="412"/>
      <c r="R58" s="412"/>
      <c r="S58" s="412"/>
      <c r="T58" s="412"/>
      <c r="U58" s="413"/>
      <c r="V58" s="413"/>
      <c r="W58" s="413"/>
      <c r="X58" s="413"/>
      <c r="Y58" s="198"/>
      <c r="Z58" s="198"/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</row>
    <row r="59" spans="1:36" ht="15.75" x14ac:dyDescent="0.25">
      <c r="A59" s="412"/>
      <c r="B59" s="412"/>
      <c r="C59" s="412"/>
      <c r="D59" s="412"/>
      <c r="E59" s="412"/>
      <c r="F59" s="412"/>
      <c r="G59" s="412"/>
      <c r="H59" s="412"/>
      <c r="I59" s="413"/>
      <c r="J59" s="413"/>
      <c r="K59" s="413"/>
      <c r="L59" s="414"/>
      <c r="M59" s="412"/>
      <c r="N59" s="412"/>
      <c r="O59" s="412"/>
      <c r="P59" s="412"/>
      <c r="Q59" s="412"/>
      <c r="R59" s="412"/>
      <c r="S59" s="412"/>
      <c r="T59" s="412"/>
      <c r="U59" s="413"/>
      <c r="V59" s="413"/>
      <c r="W59" s="413"/>
      <c r="X59" s="413"/>
    </row>
  </sheetData>
  <mergeCells count="72">
    <mergeCell ref="D51:H51"/>
    <mergeCell ref="D52:H52"/>
    <mergeCell ref="A36:H36"/>
    <mergeCell ref="I36:K36"/>
    <mergeCell ref="L36:S36"/>
    <mergeCell ref="D48:H48"/>
    <mergeCell ref="D49:H49"/>
    <mergeCell ref="D50:H50"/>
    <mergeCell ref="AI34:AI35"/>
    <mergeCell ref="AW34:AW35"/>
    <mergeCell ref="AL34:AL35"/>
    <mergeCell ref="AM34:AM35"/>
    <mergeCell ref="AN34:AN35"/>
    <mergeCell ref="AO34:AO35"/>
    <mergeCell ref="AP34:AP35"/>
    <mergeCell ref="AQ34:AQ35"/>
    <mergeCell ref="AR34:AR35"/>
    <mergeCell ref="AS34:AS35"/>
    <mergeCell ref="AT34:AT35"/>
    <mergeCell ref="AU34:AU35"/>
    <mergeCell ref="AV34:AV35"/>
    <mergeCell ref="Y31:AJ33"/>
    <mergeCell ref="AK31:AK35"/>
    <mergeCell ref="AL31:AW33"/>
    <mergeCell ref="AX31:AX35"/>
    <mergeCell ref="AY31:AY35"/>
    <mergeCell ref="AJ34:AJ35"/>
    <mergeCell ref="Y34:Y35"/>
    <mergeCell ref="Z34:Z35"/>
    <mergeCell ref="AA34:AA35"/>
    <mergeCell ref="AB34:AB35"/>
    <mergeCell ref="AC34:AC35"/>
    <mergeCell ref="AD34:AD35"/>
    <mergeCell ref="AE34:AE35"/>
    <mergeCell ref="AF34:AF35"/>
    <mergeCell ref="AG34:AG35"/>
    <mergeCell ref="AH34:AH35"/>
    <mergeCell ref="A24:I24"/>
    <mergeCell ref="A28:I28"/>
    <mergeCell ref="A29:X29"/>
    <mergeCell ref="A30:X30"/>
    <mergeCell ref="A31:H35"/>
    <mergeCell ref="I31:K35"/>
    <mergeCell ref="L31:V32"/>
    <mergeCell ref="W31:W33"/>
    <mergeCell ref="X31:X35"/>
    <mergeCell ref="L33:S35"/>
    <mergeCell ref="T33:T35"/>
    <mergeCell ref="U33:U35"/>
    <mergeCell ref="V33:V35"/>
    <mergeCell ref="W34:W35"/>
    <mergeCell ref="V23:X23"/>
    <mergeCell ref="A14:I14"/>
    <mergeCell ref="J14:U14"/>
    <mergeCell ref="V14:X14"/>
    <mergeCell ref="A15:I15"/>
    <mergeCell ref="A16:I19"/>
    <mergeCell ref="V16:X16"/>
    <mergeCell ref="V17:X17"/>
    <mergeCell ref="V18:X18"/>
    <mergeCell ref="V19:X19"/>
    <mergeCell ref="A20:I20"/>
    <mergeCell ref="V20:X20"/>
    <mergeCell ref="V21:X21"/>
    <mergeCell ref="K22:U22"/>
    <mergeCell ref="V22:X22"/>
    <mergeCell ref="A13:X13"/>
    <mergeCell ref="V3:X3"/>
    <mergeCell ref="A5:X5"/>
    <mergeCell ref="A6:X6"/>
    <mergeCell ref="A7:I7"/>
    <mergeCell ref="A9:I9"/>
  </mergeCells>
  <pageMargins left="0.85" right="0" top="1" bottom="1.5" header="0.42" footer="0.31"/>
  <pageSetup paperSize="124" scale="57" orientation="portrait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9164D-3B15-4E41-B7A8-A7683F463B2A}">
  <dimension ref="A1:AY145"/>
  <sheetViews>
    <sheetView showGridLines="0" topLeftCell="I81" zoomScale="80" zoomScaleNormal="80" zoomScaleSheetLayoutView="70" zoomScalePageLayoutView="40" workbookViewId="0">
      <selection activeCell="AD93" sqref="AD93"/>
    </sheetView>
  </sheetViews>
  <sheetFormatPr defaultColWidth="9.140625" defaultRowHeight="12.75" x14ac:dyDescent="0.2"/>
  <cols>
    <col min="1" max="6" width="3.7109375" style="415" customWidth="1"/>
    <col min="7" max="7" width="5.85546875" style="415" bestFit="1" customWidth="1"/>
    <col min="8" max="8" width="3.7109375" style="415" customWidth="1"/>
    <col min="9" max="9" width="2" style="176" customWidth="1"/>
    <col min="10" max="10" width="3.140625" style="176" customWidth="1"/>
    <col min="11" max="11" width="37.140625" style="176" customWidth="1"/>
    <col min="12" max="12" width="4.140625" style="416" customWidth="1"/>
    <col min="13" max="15" width="4" style="415" customWidth="1"/>
    <col min="16" max="16" width="6.5703125" style="415" bestFit="1" customWidth="1"/>
    <col min="17" max="17" width="4" style="415" customWidth="1"/>
    <col min="18" max="18" width="5" style="415" customWidth="1"/>
    <col min="19" max="19" width="6.7109375" style="415" customWidth="1"/>
    <col min="20" max="20" width="8.5703125" style="415" customWidth="1"/>
    <col min="21" max="21" width="9.28515625" style="176" customWidth="1"/>
    <col min="22" max="22" width="10.28515625" style="176" customWidth="1"/>
    <col min="23" max="23" width="12.5703125" style="176" customWidth="1"/>
    <col min="24" max="24" width="9.5703125" style="176" customWidth="1"/>
    <col min="25" max="25" width="10.28515625" style="175" bestFit="1" customWidth="1"/>
    <col min="26" max="26" width="9.7109375" style="175" customWidth="1"/>
    <col min="27" max="27" width="10.28515625" style="175" bestFit="1" customWidth="1"/>
    <col min="28" max="28" width="9.28515625" style="175" bestFit="1" customWidth="1"/>
    <col min="29" max="29" width="9.5703125" style="175" customWidth="1"/>
    <col min="30" max="30" width="11.28515625" style="175" customWidth="1"/>
    <col min="31" max="31" width="10.42578125" style="175" customWidth="1"/>
    <col min="32" max="32" width="9.42578125" style="175" customWidth="1"/>
    <col min="33" max="33" width="10.42578125" style="175" customWidth="1"/>
    <col min="34" max="34" width="9.42578125" style="175" customWidth="1"/>
    <col min="35" max="35" width="9.28515625" style="175" bestFit="1" customWidth="1"/>
    <col min="36" max="36" width="8" style="175" customWidth="1"/>
    <col min="37" max="37" width="12" style="176" customWidth="1"/>
    <col min="38" max="50" width="9.140625" style="176"/>
    <col min="51" max="51" width="10.28515625" style="176" bestFit="1" customWidth="1"/>
    <col min="52" max="16384" width="9.140625" style="176"/>
  </cols>
  <sheetData>
    <row r="1" spans="1:36" ht="14.25" customHeight="1" x14ac:dyDescent="0.2">
      <c r="A1" s="169"/>
      <c r="B1" s="170"/>
      <c r="C1" s="170"/>
      <c r="D1" s="170"/>
      <c r="E1" s="170"/>
      <c r="F1" s="170"/>
      <c r="G1" s="170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2"/>
      <c r="U1" s="171"/>
      <c r="V1" s="173"/>
      <c r="W1" s="171"/>
      <c r="X1" s="174"/>
    </row>
    <row r="2" spans="1:36" ht="18.75" customHeight="1" x14ac:dyDescent="0.4">
      <c r="A2" s="177"/>
      <c r="B2" s="178"/>
      <c r="C2" s="178"/>
      <c r="D2" s="178"/>
      <c r="E2" s="178"/>
      <c r="F2" s="178"/>
      <c r="G2" s="178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80"/>
      <c r="U2" s="179"/>
      <c r="V2" s="181"/>
      <c r="W2" s="179"/>
      <c r="X2" s="182"/>
    </row>
    <row r="3" spans="1:36" ht="24.75" customHeight="1" x14ac:dyDescent="0.2">
      <c r="A3" s="183"/>
      <c r="B3" s="184"/>
      <c r="C3" s="184"/>
      <c r="D3" s="184"/>
      <c r="E3" s="184"/>
      <c r="F3" s="184"/>
      <c r="G3" s="184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6"/>
      <c r="U3" s="185"/>
      <c r="V3" s="562" t="s">
        <v>21</v>
      </c>
      <c r="W3" s="563"/>
      <c r="X3" s="564"/>
    </row>
    <row r="4" spans="1:36" ht="32.25" customHeight="1" thickBot="1" x14ac:dyDescent="0.25">
      <c r="A4" s="187"/>
      <c r="B4" s="188"/>
      <c r="C4" s="188"/>
      <c r="D4" s="188"/>
      <c r="E4" s="188"/>
      <c r="F4" s="188"/>
      <c r="G4" s="188"/>
      <c r="H4" s="189"/>
      <c r="I4" s="189"/>
      <c r="J4" s="189"/>
      <c r="K4" s="190"/>
      <c r="L4" s="189"/>
      <c r="M4" s="189"/>
      <c r="N4" s="189"/>
      <c r="O4" s="189"/>
      <c r="P4" s="189"/>
      <c r="Q4" s="189"/>
      <c r="R4" s="189"/>
      <c r="S4" s="189"/>
      <c r="T4" s="190"/>
      <c r="U4" s="189"/>
      <c r="V4" s="191"/>
      <c r="W4" s="192">
        <v>1</v>
      </c>
      <c r="X4" s="193"/>
    </row>
    <row r="5" spans="1:36" ht="21" customHeight="1" x14ac:dyDescent="0.2">
      <c r="A5" s="565" t="s">
        <v>1</v>
      </c>
      <c r="B5" s="566"/>
      <c r="C5" s="566"/>
      <c r="D5" s="566"/>
      <c r="E5" s="566"/>
      <c r="F5" s="566"/>
      <c r="G5" s="566"/>
      <c r="H5" s="566"/>
      <c r="I5" s="566"/>
      <c r="J5" s="566"/>
      <c r="K5" s="566"/>
      <c r="L5" s="566"/>
      <c r="M5" s="566"/>
      <c r="N5" s="566"/>
      <c r="O5" s="566"/>
      <c r="P5" s="566"/>
      <c r="Q5" s="566"/>
      <c r="R5" s="566"/>
      <c r="S5" s="566"/>
      <c r="T5" s="566"/>
      <c r="U5" s="566"/>
      <c r="V5" s="566"/>
      <c r="W5" s="566"/>
      <c r="X5" s="567"/>
    </row>
    <row r="6" spans="1:36" ht="21" customHeight="1" x14ac:dyDescent="0.2">
      <c r="A6" s="568" t="s">
        <v>836</v>
      </c>
      <c r="B6" s="569"/>
      <c r="C6" s="569"/>
      <c r="D6" s="569"/>
      <c r="E6" s="569"/>
      <c r="F6" s="569"/>
      <c r="G6" s="569"/>
      <c r="H6" s="569"/>
      <c r="I6" s="569"/>
      <c r="J6" s="569"/>
      <c r="K6" s="569"/>
      <c r="L6" s="569"/>
      <c r="M6" s="569"/>
      <c r="N6" s="569"/>
      <c r="O6" s="569"/>
      <c r="P6" s="569"/>
      <c r="Q6" s="569"/>
      <c r="R6" s="569"/>
      <c r="S6" s="569"/>
      <c r="T6" s="569"/>
      <c r="U6" s="569"/>
      <c r="V6" s="569"/>
      <c r="W6" s="569"/>
      <c r="X6" s="570"/>
    </row>
    <row r="7" spans="1:36" s="199" customFormat="1" ht="15" customHeight="1" x14ac:dyDescent="0.25">
      <c r="A7" s="571" t="s">
        <v>45</v>
      </c>
      <c r="B7" s="572"/>
      <c r="C7" s="572"/>
      <c r="D7" s="572"/>
      <c r="E7" s="572"/>
      <c r="F7" s="572"/>
      <c r="G7" s="572"/>
      <c r="H7" s="572"/>
      <c r="I7" s="572"/>
      <c r="J7" s="195" t="s">
        <v>113</v>
      </c>
      <c r="K7" s="196" t="s">
        <v>114</v>
      </c>
      <c r="L7" s="196"/>
      <c r="M7" s="196"/>
      <c r="N7" s="196"/>
      <c r="O7" s="196"/>
      <c r="P7" s="196"/>
      <c r="Q7" s="196"/>
      <c r="R7" s="196"/>
      <c r="S7" s="196"/>
      <c r="T7" s="196"/>
      <c r="U7" s="196"/>
      <c r="V7" s="196"/>
      <c r="W7" s="196"/>
      <c r="X7" s="197"/>
      <c r="Y7" s="198"/>
      <c r="Z7" s="198"/>
      <c r="AA7" s="198"/>
      <c r="AB7" s="198"/>
      <c r="AC7" s="198"/>
      <c r="AD7" s="198"/>
      <c r="AE7" s="198"/>
      <c r="AF7" s="198"/>
      <c r="AG7" s="198"/>
      <c r="AH7" s="198"/>
      <c r="AI7" s="198"/>
      <c r="AJ7" s="198"/>
    </row>
    <row r="8" spans="1:36" s="199" customFormat="1" ht="15" customHeight="1" x14ac:dyDescent="0.25">
      <c r="A8" s="194" t="s">
        <v>115</v>
      </c>
      <c r="B8" s="195"/>
      <c r="C8" s="195"/>
      <c r="D8" s="195"/>
      <c r="E8" s="195"/>
      <c r="F8" s="195"/>
      <c r="G8" s="195"/>
      <c r="H8" s="195"/>
      <c r="I8" s="195"/>
      <c r="J8" s="195" t="s">
        <v>113</v>
      </c>
      <c r="K8" s="200" t="s">
        <v>554</v>
      </c>
      <c r="L8" s="200"/>
      <c r="T8" s="200"/>
      <c r="U8" s="200"/>
      <c r="V8" s="200"/>
      <c r="W8" s="200"/>
      <c r="X8" s="201"/>
      <c r="Y8" s="198"/>
      <c r="Z8" s="198"/>
      <c r="AA8" s="198"/>
      <c r="AB8" s="198"/>
      <c r="AC8" s="198"/>
      <c r="AD8" s="198"/>
      <c r="AE8" s="198"/>
      <c r="AF8" s="198"/>
      <c r="AG8" s="198"/>
      <c r="AH8" s="198"/>
      <c r="AI8" s="198"/>
      <c r="AJ8" s="198"/>
    </row>
    <row r="9" spans="1:36" s="199" customFormat="1" ht="15" customHeight="1" x14ac:dyDescent="0.25">
      <c r="A9" s="573" t="s">
        <v>116</v>
      </c>
      <c r="B9" s="574"/>
      <c r="C9" s="574"/>
      <c r="D9" s="574"/>
      <c r="E9" s="574"/>
      <c r="F9" s="574"/>
      <c r="G9" s="574"/>
      <c r="H9" s="574"/>
      <c r="I9" s="574"/>
      <c r="J9" s="203" t="s">
        <v>113</v>
      </c>
      <c r="K9" s="204" t="s">
        <v>570</v>
      </c>
      <c r="L9" s="196"/>
      <c r="M9" s="204"/>
      <c r="N9" s="204"/>
      <c r="O9" s="204"/>
      <c r="P9" s="204"/>
      <c r="Q9" s="204"/>
      <c r="R9" s="204"/>
      <c r="S9" s="204"/>
      <c r="T9" s="196"/>
      <c r="U9" s="196"/>
      <c r="V9" s="196"/>
      <c r="W9" s="196"/>
      <c r="X9" s="197"/>
      <c r="Y9" s="198"/>
      <c r="Z9" s="198"/>
      <c r="AA9" s="198"/>
      <c r="AB9" s="198"/>
      <c r="AC9" s="198"/>
      <c r="AD9" s="198"/>
      <c r="AE9" s="198"/>
      <c r="AF9" s="198"/>
      <c r="AG9" s="198"/>
      <c r="AH9" s="198"/>
      <c r="AI9" s="198"/>
      <c r="AJ9" s="198"/>
    </row>
    <row r="10" spans="1:36" s="199" customFormat="1" ht="14.25" customHeight="1" x14ac:dyDescent="0.25">
      <c r="A10" s="202" t="s">
        <v>117</v>
      </c>
      <c r="B10" s="203"/>
      <c r="C10" s="205"/>
      <c r="D10" s="205"/>
      <c r="E10" s="205"/>
      <c r="F10" s="205"/>
      <c r="G10" s="205"/>
      <c r="H10" s="205"/>
      <c r="I10" s="203"/>
      <c r="J10" s="195" t="s">
        <v>113</v>
      </c>
      <c r="K10" s="206" t="s">
        <v>616</v>
      </c>
      <c r="L10" s="196"/>
      <c r="M10" s="196"/>
      <c r="N10" s="196"/>
      <c r="O10" s="196"/>
      <c r="P10" s="196"/>
      <c r="Q10" s="196"/>
      <c r="R10" s="196"/>
      <c r="S10" s="196"/>
      <c r="T10" s="207"/>
      <c r="U10" s="196"/>
      <c r="V10" s="196"/>
      <c r="W10" s="196"/>
      <c r="X10" s="197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</row>
    <row r="11" spans="1:36" s="199" customFormat="1" ht="14.25" customHeight="1" x14ac:dyDescent="0.25">
      <c r="A11" s="208" t="s">
        <v>118</v>
      </c>
      <c r="B11" s="209"/>
      <c r="C11" s="210"/>
      <c r="D11" s="210"/>
      <c r="E11" s="210"/>
      <c r="F11" s="210"/>
      <c r="G11" s="210"/>
      <c r="H11" s="210"/>
      <c r="I11" s="209"/>
      <c r="J11" s="195" t="s">
        <v>119</v>
      </c>
      <c r="K11" s="206" t="s">
        <v>114</v>
      </c>
      <c r="L11" s="211"/>
      <c r="M11" s="211"/>
      <c r="N11" s="211"/>
      <c r="O11" s="211"/>
      <c r="P11" s="211"/>
      <c r="Q11" s="211"/>
      <c r="R11" s="211"/>
      <c r="S11" s="211"/>
      <c r="T11" s="212"/>
      <c r="U11" s="211"/>
      <c r="V11" s="211"/>
      <c r="W11" s="211"/>
      <c r="X11" s="213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</row>
    <row r="12" spans="1:36" s="199" customFormat="1" ht="15.75" x14ac:dyDescent="0.25">
      <c r="A12" s="208" t="s">
        <v>120</v>
      </c>
      <c r="B12" s="209"/>
      <c r="C12" s="210"/>
      <c r="D12" s="210"/>
      <c r="E12" s="210"/>
      <c r="F12" s="210"/>
      <c r="G12" s="210"/>
      <c r="H12" s="210"/>
      <c r="I12" s="209"/>
      <c r="J12" s="195" t="s">
        <v>113</v>
      </c>
      <c r="K12" s="214" t="s">
        <v>706</v>
      </c>
      <c r="L12" s="211"/>
      <c r="M12" s="211"/>
      <c r="N12" s="211"/>
      <c r="O12" s="211"/>
      <c r="P12" s="211"/>
      <c r="Q12" s="211"/>
      <c r="R12" s="211"/>
      <c r="S12" s="211"/>
      <c r="T12" s="212"/>
      <c r="U12" s="211"/>
      <c r="V12" s="211"/>
      <c r="W12" s="211"/>
      <c r="X12" s="213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</row>
    <row r="13" spans="1:36" s="199" customFormat="1" ht="18" customHeight="1" x14ac:dyDescent="0.25">
      <c r="A13" s="559" t="s">
        <v>121</v>
      </c>
      <c r="B13" s="560"/>
      <c r="C13" s="560"/>
      <c r="D13" s="560"/>
      <c r="E13" s="560"/>
      <c r="F13" s="560"/>
      <c r="G13" s="560"/>
      <c r="H13" s="560"/>
      <c r="I13" s="560"/>
      <c r="J13" s="560"/>
      <c r="K13" s="560"/>
      <c r="L13" s="560"/>
      <c r="M13" s="560"/>
      <c r="N13" s="560"/>
      <c r="O13" s="560"/>
      <c r="P13" s="560"/>
      <c r="Q13" s="560"/>
      <c r="R13" s="560"/>
      <c r="S13" s="560"/>
      <c r="T13" s="560"/>
      <c r="U13" s="560"/>
      <c r="V13" s="560"/>
      <c r="W13" s="560"/>
      <c r="X13" s="561"/>
    </row>
    <row r="14" spans="1:36" s="199" customFormat="1" ht="15.75" x14ac:dyDescent="0.25">
      <c r="A14" s="578" t="s">
        <v>122</v>
      </c>
      <c r="B14" s="579"/>
      <c r="C14" s="579"/>
      <c r="D14" s="579"/>
      <c r="E14" s="579"/>
      <c r="F14" s="579"/>
      <c r="G14" s="579"/>
      <c r="H14" s="579"/>
      <c r="I14" s="580"/>
      <c r="J14" s="581" t="s">
        <v>123</v>
      </c>
      <c r="K14" s="579"/>
      <c r="L14" s="579"/>
      <c r="M14" s="579"/>
      <c r="N14" s="579"/>
      <c r="O14" s="579"/>
      <c r="P14" s="579"/>
      <c r="Q14" s="579"/>
      <c r="R14" s="579"/>
      <c r="S14" s="579"/>
      <c r="T14" s="579"/>
      <c r="U14" s="579"/>
      <c r="V14" s="581" t="s">
        <v>124</v>
      </c>
      <c r="W14" s="579"/>
      <c r="X14" s="582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</row>
    <row r="15" spans="1:36" s="199" customFormat="1" ht="17.25" customHeight="1" x14ac:dyDescent="0.25">
      <c r="A15" s="573" t="s">
        <v>125</v>
      </c>
      <c r="B15" s="574"/>
      <c r="C15" s="574"/>
      <c r="D15" s="574"/>
      <c r="E15" s="574"/>
      <c r="F15" s="574"/>
      <c r="G15" s="574"/>
      <c r="H15" s="574"/>
      <c r="I15" s="583"/>
      <c r="J15" s="203" t="s">
        <v>119</v>
      </c>
      <c r="K15" s="200"/>
      <c r="L15" s="196"/>
      <c r="M15" s="196"/>
      <c r="N15" s="196"/>
      <c r="O15" s="196"/>
      <c r="P15" s="196"/>
      <c r="Q15" s="196"/>
      <c r="R15" s="196"/>
      <c r="S15" s="196"/>
      <c r="T15" s="207"/>
      <c r="U15" s="196"/>
      <c r="V15" s="215"/>
      <c r="W15" s="196"/>
      <c r="X15" s="197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</row>
    <row r="16" spans="1:36" s="199" customFormat="1" ht="15.75" customHeight="1" x14ac:dyDescent="0.25">
      <c r="A16" s="571" t="s">
        <v>126</v>
      </c>
      <c r="B16" s="572"/>
      <c r="C16" s="572"/>
      <c r="D16" s="572"/>
      <c r="E16" s="572"/>
      <c r="F16" s="572"/>
      <c r="G16" s="572"/>
      <c r="H16" s="572"/>
      <c r="I16" s="584"/>
      <c r="J16" s="216" t="s">
        <v>119</v>
      </c>
      <c r="K16" s="217" t="s">
        <v>127</v>
      </c>
      <c r="L16" s="217"/>
      <c r="M16" s="217"/>
      <c r="N16" s="217"/>
      <c r="O16" s="217"/>
      <c r="P16" s="217"/>
      <c r="Q16" s="217"/>
      <c r="R16" s="217"/>
      <c r="S16" s="217"/>
      <c r="T16" s="218"/>
      <c r="U16" s="217"/>
      <c r="V16" s="591"/>
      <c r="W16" s="592"/>
      <c r="X16" s="593"/>
      <c r="Y16" s="198"/>
      <c r="Z16" s="198"/>
      <c r="AA16" s="198"/>
      <c r="AB16" s="198"/>
      <c r="AC16" s="198"/>
      <c r="AD16" s="198"/>
      <c r="AE16" s="198"/>
      <c r="AF16" s="198"/>
      <c r="AG16" s="198"/>
      <c r="AH16" s="198"/>
      <c r="AI16" s="198"/>
      <c r="AJ16" s="198"/>
    </row>
    <row r="17" spans="1:36" s="199" customFormat="1" ht="15.75" customHeight="1" x14ac:dyDescent="0.25">
      <c r="A17" s="585"/>
      <c r="B17" s="586"/>
      <c r="C17" s="586"/>
      <c r="D17" s="586"/>
      <c r="E17" s="586"/>
      <c r="F17" s="586"/>
      <c r="G17" s="586"/>
      <c r="H17" s="586"/>
      <c r="I17" s="587"/>
      <c r="J17" s="222" t="s">
        <v>119</v>
      </c>
      <c r="K17" s="223" t="s">
        <v>128</v>
      </c>
      <c r="L17" s="223"/>
      <c r="M17" s="223"/>
      <c r="N17" s="223"/>
      <c r="O17" s="223"/>
      <c r="P17" s="223"/>
      <c r="Q17" s="223"/>
      <c r="R17" s="223"/>
      <c r="S17" s="223"/>
      <c r="T17" s="224"/>
      <c r="U17" s="223"/>
      <c r="V17" s="594"/>
      <c r="W17" s="595"/>
      <c r="X17" s="596"/>
      <c r="Y17" s="198"/>
      <c r="Z17" s="198"/>
      <c r="AA17" s="198"/>
      <c r="AB17" s="198"/>
      <c r="AC17" s="198"/>
      <c r="AD17" s="198"/>
      <c r="AE17" s="198"/>
      <c r="AF17" s="198"/>
      <c r="AG17" s="198"/>
      <c r="AH17" s="198"/>
      <c r="AI17" s="198"/>
      <c r="AJ17" s="198"/>
    </row>
    <row r="18" spans="1:36" s="199" customFormat="1" ht="13.5" customHeight="1" x14ac:dyDescent="0.25">
      <c r="A18" s="585"/>
      <c r="B18" s="586"/>
      <c r="C18" s="586"/>
      <c r="D18" s="586"/>
      <c r="E18" s="586"/>
      <c r="F18" s="586"/>
      <c r="G18" s="586"/>
      <c r="H18" s="586"/>
      <c r="I18" s="587"/>
      <c r="J18" s="222" t="s">
        <v>119</v>
      </c>
      <c r="K18" s="223" t="s">
        <v>129</v>
      </c>
      <c r="L18" s="223"/>
      <c r="M18" s="223"/>
      <c r="N18" s="223"/>
      <c r="O18" s="223"/>
      <c r="P18" s="223"/>
      <c r="Q18" s="223"/>
      <c r="R18" s="223"/>
      <c r="S18" s="223"/>
      <c r="T18" s="224"/>
      <c r="U18" s="223"/>
      <c r="V18" s="594"/>
      <c r="W18" s="595"/>
      <c r="X18" s="596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</row>
    <row r="19" spans="1:36" s="199" customFormat="1" ht="15.75" customHeight="1" x14ac:dyDescent="0.25">
      <c r="A19" s="588"/>
      <c r="B19" s="589"/>
      <c r="C19" s="589"/>
      <c r="D19" s="589"/>
      <c r="E19" s="589"/>
      <c r="F19" s="589"/>
      <c r="G19" s="589"/>
      <c r="H19" s="589"/>
      <c r="I19" s="590"/>
      <c r="J19" s="226" t="s">
        <v>119</v>
      </c>
      <c r="K19" s="211" t="s">
        <v>130</v>
      </c>
      <c r="L19" s="211"/>
      <c r="M19" s="211"/>
      <c r="N19" s="211"/>
      <c r="O19" s="211"/>
      <c r="P19" s="211"/>
      <c r="Q19" s="211"/>
      <c r="R19" s="211"/>
      <c r="S19" s="211"/>
      <c r="T19" s="212"/>
      <c r="U19" s="211"/>
      <c r="V19" s="597"/>
      <c r="W19" s="598"/>
      <c r="X19" s="599"/>
      <c r="Y19" s="198"/>
      <c r="Z19" s="198"/>
      <c r="AA19" s="198"/>
      <c r="AB19" s="198"/>
      <c r="AC19" s="198"/>
      <c r="AD19" s="198"/>
      <c r="AE19" s="198"/>
      <c r="AF19" s="198"/>
      <c r="AG19" s="198"/>
      <c r="AH19" s="198"/>
      <c r="AI19" s="198"/>
      <c r="AJ19" s="198"/>
    </row>
    <row r="20" spans="1:36" s="199" customFormat="1" ht="15.75" customHeight="1" x14ac:dyDescent="0.25">
      <c r="A20" s="585" t="s">
        <v>131</v>
      </c>
      <c r="B20" s="586"/>
      <c r="C20" s="586"/>
      <c r="D20" s="586"/>
      <c r="E20" s="586"/>
      <c r="F20" s="586"/>
      <c r="G20" s="586"/>
      <c r="H20" s="586"/>
      <c r="I20" s="587"/>
      <c r="J20" s="220" t="s">
        <v>119</v>
      </c>
      <c r="K20" s="200" t="s">
        <v>617</v>
      </c>
      <c r="L20" s="196"/>
      <c r="M20" s="196"/>
      <c r="N20" s="196"/>
      <c r="O20" s="196"/>
      <c r="P20" s="196"/>
      <c r="Q20" s="196"/>
      <c r="R20" s="196"/>
      <c r="S20" s="196"/>
      <c r="T20" s="207"/>
      <c r="U20" s="196"/>
      <c r="V20" s="575"/>
      <c r="W20" s="576"/>
      <c r="X20" s="577"/>
      <c r="Y20" s="198"/>
      <c r="Z20" s="198"/>
      <c r="AA20" s="198"/>
      <c r="AB20" s="198"/>
      <c r="AC20" s="198"/>
      <c r="AD20" s="198"/>
      <c r="AE20" s="198"/>
      <c r="AF20" s="198"/>
      <c r="AG20" s="198"/>
      <c r="AH20" s="198"/>
      <c r="AI20" s="198"/>
      <c r="AJ20" s="198"/>
    </row>
    <row r="21" spans="1:36" s="199" customFormat="1" ht="15.75" customHeight="1" x14ac:dyDescent="0.25">
      <c r="A21" s="219"/>
      <c r="B21" s="220"/>
      <c r="C21" s="220"/>
      <c r="D21" s="220"/>
      <c r="E21" s="220"/>
      <c r="F21" s="220"/>
      <c r="G21" s="220"/>
      <c r="H21" s="220"/>
      <c r="I21" s="221"/>
      <c r="J21" s="229"/>
      <c r="K21" s="200" t="s">
        <v>629</v>
      </c>
      <c r="L21" s="196"/>
      <c r="M21" s="196"/>
      <c r="N21" s="196"/>
      <c r="O21" s="196"/>
      <c r="P21" s="196"/>
      <c r="Q21" s="196"/>
      <c r="R21" s="196"/>
      <c r="S21" s="196"/>
      <c r="T21" s="207"/>
      <c r="U21" s="196"/>
      <c r="V21" s="575"/>
      <c r="W21" s="576"/>
      <c r="X21" s="577"/>
      <c r="Y21" s="198"/>
      <c r="Z21" s="198"/>
      <c r="AA21" s="198"/>
      <c r="AB21" s="198"/>
      <c r="AC21" s="198"/>
      <c r="AD21" s="198"/>
      <c r="AE21" s="198"/>
      <c r="AF21" s="198"/>
      <c r="AG21" s="198"/>
      <c r="AH21" s="198"/>
      <c r="AI21" s="198"/>
      <c r="AJ21" s="198"/>
    </row>
    <row r="22" spans="1:36" s="199" customFormat="1" ht="15.75" x14ac:dyDescent="0.25">
      <c r="A22" s="219"/>
      <c r="B22" s="220"/>
      <c r="C22" s="220"/>
      <c r="D22" s="220"/>
      <c r="E22" s="220"/>
      <c r="F22" s="220"/>
      <c r="G22" s="220"/>
      <c r="H22" s="220"/>
      <c r="I22" s="221"/>
      <c r="J22" s="229"/>
      <c r="K22" s="600" t="s">
        <v>691</v>
      </c>
      <c r="L22" s="600"/>
      <c r="M22" s="600"/>
      <c r="N22" s="600"/>
      <c r="O22" s="600"/>
      <c r="P22" s="600"/>
      <c r="Q22" s="600"/>
      <c r="R22" s="600"/>
      <c r="S22" s="600"/>
      <c r="T22" s="600"/>
      <c r="U22" s="601"/>
      <c r="V22" s="575"/>
      <c r="W22" s="576"/>
      <c r="X22" s="577"/>
      <c r="Y22" s="198"/>
      <c r="Z22" s="198"/>
      <c r="AA22" s="198"/>
      <c r="AB22" s="198"/>
      <c r="AC22" s="198"/>
      <c r="AD22" s="198"/>
      <c r="AE22" s="198"/>
      <c r="AF22" s="198"/>
      <c r="AG22" s="198"/>
      <c r="AH22" s="198"/>
      <c r="AI22" s="198"/>
      <c r="AJ22" s="198"/>
    </row>
    <row r="23" spans="1:36" s="199" customFormat="1" ht="15.75" customHeight="1" x14ac:dyDescent="0.25">
      <c r="A23" s="219"/>
      <c r="B23" s="220"/>
      <c r="C23" s="220"/>
      <c r="D23" s="220"/>
      <c r="E23" s="220"/>
      <c r="F23" s="220"/>
      <c r="G23" s="220"/>
      <c r="H23" s="220"/>
      <c r="I23" s="221"/>
      <c r="J23" s="229"/>
      <c r="K23" s="204" t="s">
        <v>692</v>
      </c>
      <c r="L23" s="211"/>
      <c r="M23" s="211"/>
      <c r="N23" s="211"/>
      <c r="O23" s="211"/>
      <c r="P23" s="211"/>
      <c r="Q23" s="211"/>
      <c r="R23" s="211"/>
      <c r="S23" s="211"/>
      <c r="T23" s="212"/>
      <c r="U23" s="211"/>
      <c r="V23" s="575"/>
      <c r="W23" s="576"/>
      <c r="X23" s="577"/>
      <c r="Y23" s="198"/>
      <c r="Z23" s="198"/>
      <c r="AA23" s="198"/>
      <c r="AB23" s="198"/>
      <c r="AC23" s="198"/>
      <c r="AD23" s="198"/>
      <c r="AE23" s="198"/>
      <c r="AF23" s="198"/>
      <c r="AG23" s="198"/>
      <c r="AH23" s="198"/>
      <c r="AI23" s="198"/>
      <c r="AJ23" s="198"/>
    </row>
    <row r="24" spans="1:36" s="199" customFormat="1" ht="15.75" customHeight="1" x14ac:dyDescent="0.25">
      <c r="A24" s="219"/>
      <c r="B24" s="220"/>
      <c r="C24" s="220"/>
      <c r="D24" s="220"/>
      <c r="E24" s="220"/>
      <c r="F24" s="220"/>
      <c r="G24" s="220"/>
      <c r="H24" s="220"/>
      <c r="I24" s="221"/>
      <c r="J24" s="203"/>
      <c r="K24" s="200" t="s">
        <v>699</v>
      </c>
      <c r="L24" s="211"/>
      <c r="M24" s="211"/>
      <c r="N24" s="211"/>
      <c r="O24" s="211"/>
      <c r="P24" s="211"/>
      <c r="Q24" s="211"/>
      <c r="R24" s="211"/>
      <c r="S24" s="211"/>
      <c r="T24" s="212"/>
      <c r="U24" s="211"/>
      <c r="V24" s="429"/>
      <c r="W24" s="227"/>
      <c r="X24" s="228"/>
      <c r="Y24" s="198"/>
      <c r="Z24" s="198"/>
      <c r="AA24" s="198"/>
      <c r="AB24" s="198"/>
      <c r="AC24" s="198"/>
      <c r="AD24" s="198"/>
      <c r="AE24" s="198"/>
      <c r="AF24" s="198"/>
      <c r="AG24" s="198"/>
      <c r="AH24" s="198"/>
      <c r="AI24" s="198"/>
      <c r="AJ24" s="198"/>
    </row>
    <row r="25" spans="1:36" s="199" customFormat="1" ht="15.75" customHeight="1" x14ac:dyDescent="0.25">
      <c r="A25" s="219"/>
      <c r="B25" s="220"/>
      <c r="C25" s="220"/>
      <c r="D25" s="220"/>
      <c r="E25" s="220"/>
      <c r="F25" s="220"/>
      <c r="G25" s="220"/>
      <c r="H25" s="220"/>
      <c r="I25" s="221"/>
      <c r="J25" s="203"/>
      <c r="K25" s="200" t="s">
        <v>701</v>
      </c>
      <c r="L25" s="211"/>
      <c r="M25" s="211"/>
      <c r="N25" s="211"/>
      <c r="O25" s="211"/>
      <c r="P25" s="211"/>
      <c r="Q25" s="211"/>
      <c r="R25" s="211"/>
      <c r="S25" s="211"/>
      <c r="T25" s="212"/>
      <c r="U25" s="211"/>
      <c r="V25" s="429"/>
      <c r="W25" s="227"/>
      <c r="X25" s="228"/>
      <c r="Y25" s="198"/>
      <c r="Z25" s="198"/>
      <c r="AA25" s="198"/>
      <c r="AB25" s="198"/>
      <c r="AC25" s="198"/>
      <c r="AD25" s="198"/>
      <c r="AE25" s="198"/>
      <c r="AF25" s="198"/>
      <c r="AG25" s="198"/>
      <c r="AH25" s="198"/>
      <c r="AI25" s="198"/>
      <c r="AJ25" s="198"/>
    </row>
    <row r="26" spans="1:36" s="199" customFormat="1" ht="16.5" customHeight="1" x14ac:dyDescent="0.25">
      <c r="A26" s="573" t="s">
        <v>132</v>
      </c>
      <c r="B26" s="574"/>
      <c r="C26" s="574"/>
      <c r="D26" s="574"/>
      <c r="E26" s="574"/>
      <c r="F26" s="574"/>
      <c r="G26" s="574"/>
      <c r="H26" s="574"/>
      <c r="I26" s="583"/>
      <c r="J26" s="203" t="s">
        <v>119</v>
      </c>
      <c r="K26" s="200"/>
      <c r="L26" s="196"/>
      <c r="M26" s="196"/>
      <c r="N26" s="196"/>
      <c r="O26" s="196"/>
      <c r="P26" s="196"/>
      <c r="Q26" s="196"/>
      <c r="R26" s="196"/>
      <c r="S26" s="196"/>
      <c r="T26" s="207"/>
      <c r="U26" s="196"/>
      <c r="V26" s="230"/>
      <c r="W26" s="196"/>
      <c r="X26" s="197"/>
      <c r="Y26" s="198"/>
      <c r="Z26" s="198"/>
      <c r="AA26" s="198"/>
      <c r="AB26" s="198"/>
      <c r="AC26" s="198"/>
      <c r="AD26" s="198"/>
      <c r="AE26" s="198"/>
      <c r="AF26" s="198"/>
      <c r="AG26" s="198"/>
      <c r="AH26" s="198"/>
      <c r="AI26" s="198"/>
      <c r="AJ26" s="198"/>
    </row>
    <row r="27" spans="1:36" s="199" customFormat="1" ht="16.5" customHeight="1" x14ac:dyDescent="0.25">
      <c r="A27" s="208"/>
      <c r="B27" s="209"/>
      <c r="C27" s="209"/>
      <c r="D27" s="209"/>
      <c r="E27" s="209"/>
      <c r="F27" s="209"/>
      <c r="G27" s="209"/>
      <c r="H27" s="209"/>
      <c r="I27" s="225"/>
      <c r="J27" s="209"/>
      <c r="K27" s="200"/>
      <c r="L27" s="211"/>
      <c r="M27" s="211"/>
      <c r="N27" s="211"/>
      <c r="O27" s="211"/>
      <c r="P27" s="211"/>
      <c r="Q27" s="211"/>
      <c r="R27" s="211"/>
      <c r="S27" s="211"/>
      <c r="T27" s="212"/>
      <c r="U27" s="211"/>
      <c r="V27" s="230"/>
      <c r="W27" s="211"/>
      <c r="X27" s="213"/>
      <c r="Y27" s="198"/>
      <c r="Z27" s="198"/>
      <c r="AA27" s="198"/>
      <c r="AB27" s="198"/>
      <c r="AC27" s="198"/>
      <c r="AD27" s="198"/>
      <c r="AE27" s="198"/>
      <c r="AF27" s="198"/>
      <c r="AG27" s="198"/>
      <c r="AH27" s="198"/>
      <c r="AI27" s="198"/>
      <c r="AJ27" s="198"/>
    </row>
    <row r="28" spans="1:36" s="199" customFormat="1" ht="16.5" customHeight="1" x14ac:dyDescent="0.25">
      <c r="A28" s="208"/>
      <c r="B28" s="209"/>
      <c r="C28" s="209"/>
      <c r="D28" s="209"/>
      <c r="E28" s="209"/>
      <c r="F28" s="209"/>
      <c r="G28" s="209"/>
      <c r="H28" s="209"/>
      <c r="I28" s="225"/>
      <c r="J28" s="209"/>
      <c r="K28" s="200"/>
      <c r="L28" s="211"/>
      <c r="M28" s="211"/>
      <c r="N28" s="211"/>
      <c r="O28" s="211"/>
      <c r="P28" s="211"/>
      <c r="Q28" s="211"/>
      <c r="R28" s="211"/>
      <c r="S28" s="211"/>
      <c r="T28" s="212"/>
      <c r="U28" s="211"/>
      <c r="V28" s="230"/>
      <c r="W28" s="211"/>
      <c r="X28" s="213"/>
      <c r="Y28" s="198"/>
      <c r="Z28" s="198"/>
      <c r="AA28" s="198"/>
      <c r="AB28" s="198"/>
      <c r="AC28" s="198"/>
      <c r="AD28" s="198"/>
      <c r="AE28" s="198"/>
      <c r="AF28" s="198"/>
      <c r="AG28" s="198"/>
      <c r="AH28" s="198"/>
      <c r="AI28" s="198"/>
      <c r="AJ28" s="198"/>
    </row>
    <row r="29" spans="1:36" s="199" customFormat="1" ht="16.5" customHeight="1" x14ac:dyDescent="0.25">
      <c r="A29" s="208"/>
      <c r="B29" s="209"/>
      <c r="C29" s="209"/>
      <c r="D29" s="209"/>
      <c r="E29" s="209"/>
      <c r="F29" s="209"/>
      <c r="G29" s="209"/>
      <c r="H29" s="209"/>
      <c r="I29" s="225"/>
      <c r="J29" s="209"/>
      <c r="K29" s="200"/>
      <c r="L29" s="211"/>
      <c r="M29" s="211"/>
      <c r="N29" s="211"/>
      <c r="O29" s="211"/>
      <c r="P29" s="211"/>
      <c r="Q29" s="211"/>
      <c r="R29" s="211"/>
      <c r="S29" s="211"/>
      <c r="T29" s="212"/>
      <c r="U29" s="211"/>
      <c r="V29" s="231"/>
      <c r="W29" s="211"/>
      <c r="X29" s="213"/>
      <c r="Y29" s="198"/>
      <c r="Z29" s="198"/>
      <c r="AA29" s="198"/>
      <c r="AB29" s="198"/>
      <c r="AC29" s="198"/>
      <c r="AD29" s="198"/>
      <c r="AE29" s="198"/>
      <c r="AF29" s="198"/>
      <c r="AG29" s="198"/>
      <c r="AH29" s="198"/>
      <c r="AI29" s="198"/>
      <c r="AJ29" s="198"/>
    </row>
    <row r="30" spans="1:36" s="199" customFormat="1" ht="18.75" customHeight="1" x14ac:dyDescent="0.25">
      <c r="A30" s="602" t="s">
        <v>133</v>
      </c>
      <c r="B30" s="603"/>
      <c r="C30" s="603"/>
      <c r="D30" s="603"/>
      <c r="E30" s="603"/>
      <c r="F30" s="603"/>
      <c r="G30" s="603"/>
      <c r="H30" s="603"/>
      <c r="I30" s="604"/>
      <c r="J30" s="209" t="s">
        <v>119</v>
      </c>
      <c r="K30" s="200"/>
      <c r="L30" s="211"/>
      <c r="M30" s="211"/>
      <c r="N30" s="211"/>
      <c r="O30" s="211"/>
      <c r="P30" s="211"/>
      <c r="Q30" s="211"/>
      <c r="R30" s="211"/>
      <c r="S30" s="211"/>
      <c r="T30" s="212"/>
      <c r="U30" s="211"/>
      <c r="V30" s="200"/>
      <c r="W30" s="232"/>
      <c r="X30" s="233"/>
      <c r="Y30" s="198"/>
      <c r="Z30" s="198"/>
      <c r="AA30" s="198"/>
      <c r="AB30" s="198"/>
      <c r="AC30" s="198"/>
      <c r="AD30" s="198"/>
      <c r="AE30" s="198"/>
      <c r="AF30" s="198"/>
      <c r="AG30" s="198"/>
      <c r="AH30" s="198"/>
      <c r="AI30" s="198"/>
      <c r="AJ30" s="198"/>
    </row>
    <row r="31" spans="1:36" s="199" customFormat="1" ht="15.75" x14ac:dyDescent="0.25">
      <c r="A31" s="605" t="s">
        <v>134</v>
      </c>
      <c r="B31" s="606"/>
      <c r="C31" s="606"/>
      <c r="D31" s="606"/>
      <c r="E31" s="606"/>
      <c r="F31" s="606"/>
      <c r="G31" s="606"/>
      <c r="H31" s="606"/>
      <c r="I31" s="606"/>
      <c r="J31" s="606"/>
      <c r="K31" s="606"/>
      <c r="L31" s="606"/>
      <c r="M31" s="606"/>
      <c r="N31" s="606"/>
      <c r="O31" s="606"/>
      <c r="P31" s="606"/>
      <c r="Q31" s="606"/>
      <c r="R31" s="606"/>
      <c r="S31" s="606"/>
      <c r="T31" s="606"/>
      <c r="U31" s="606"/>
      <c r="V31" s="606"/>
      <c r="W31" s="606"/>
      <c r="X31" s="607"/>
    </row>
    <row r="32" spans="1:36" s="199" customFormat="1" ht="16.5" thickBot="1" x14ac:dyDescent="0.3">
      <c r="A32" s="608" t="s">
        <v>135</v>
      </c>
      <c r="B32" s="609"/>
      <c r="C32" s="609"/>
      <c r="D32" s="609"/>
      <c r="E32" s="609"/>
      <c r="F32" s="609"/>
      <c r="G32" s="609"/>
      <c r="H32" s="609"/>
      <c r="I32" s="609"/>
      <c r="J32" s="609"/>
      <c r="K32" s="609"/>
      <c r="L32" s="609"/>
      <c r="M32" s="609"/>
      <c r="N32" s="609"/>
      <c r="O32" s="609"/>
      <c r="P32" s="609"/>
      <c r="Q32" s="609"/>
      <c r="R32" s="609"/>
      <c r="S32" s="609"/>
      <c r="T32" s="609"/>
      <c r="U32" s="609"/>
      <c r="V32" s="609"/>
      <c r="W32" s="609"/>
      <c r="X32" s="610"/>
    </row>
    <row r="33" spans="1:51" s="199" customFormat="1" ht="10.5" customHeight="1" x14ac:dyDescent="0.25">
      <c r="A33" s="611" t="s">
        <v>136</v>
      </c>
      <c r="B33" s="612"/>
      <c r="C33" s="612"/>
      <c r="D33" s="612"/>
      <c r="E33" s="612"/>
      <c r="F33" s="612"/>
      <c r="G33" s="612"/>
      <c r="H33" s="613"/>
      <c r="I33" s="620" t="s">
        <v>137</v>
      </c>
      <c r="J33" s="612"/>
      <c r="K33" s="613"/>
      <c r="L33" s="620" t="s">
        <v>138</v>
      </c>
      <c r="M33" s="612"/>
      <c r="N33" s="612"/>
      <c r="O33" s="612"/>
      <c r="P33" s="612"/>
      <c r="Q33" s="612"/>
      <c r="R33" s="612"/>
      <c r="S33" s="612"/>
      <c r="T33" s="612"/>
      <c r="U33" s="612"/>
      <c r="V33" s="613"/>
      <c r="W33" s="623" t="s">
        <v>139</v>
      </c>
      <c r="X33" s="625" t="s">
        <v>140</v>
      </c>
      <c r="Y33" s="636" t="s">
        <v>567</v>
      </c>
      <c r="Z33" s="636"/>
      <c r="AA33" s="636"/>
      <c r="AB33" s="636"/>
      <c r="AC33" s="636"/>
      <c r="AD33" s="636"/>
      <c r="AE33" s="636"/>
      <c r="AF33" s="636"/>
      <c r="AG33" s="636"/>
      <c r="AH33" s="636"/>
      <c r="AI33" s="636"/>
      <c r="AJ33" s="637"/>
      <c r="AK33" s="642" t="s">
        <v>139</v>
      </c>
      <c r="AL33" s="645" t="s">
        <v>568</v>
      </c>
      <c r="AM33" s="636"/>
      <c r="AN33" s="636"/>
      <c r="AO33" s="636"/>
      <c r="AP33" s="636"/>
      <c r="AQ33" s="636"/>
      <c r="AR33" s="636"/>
      <c r="AS33" s="636"/>
      <c r="AT33" s="636"/>
      <c r="AU33" s="636"/>
      <c r="AV33" s="636"/>
      <c r="AW33" s="637"/>
      <c r="AX33" s="642" t="s">
        <v>139</v>
      </c>
      <c r="AY33" s="648" t="s">
        <v>141</v>
      </c>
    </row>
    <row r="34" spans="1:51" s="199" customFormat="1" ht="6.75" customHeight="1" x14ac:dyDescent="0.25">
      <c r="A34" s="614"/>
      <c r="B34" s="615"/>
      <c r="C34" s="615"/>
      <c r="D34" s="615"/>
      <c r="E34" s="615"/>
      <c r="F34" s="615"/>
      <c r="G34" s="615"/>
      <c r="H34" s="616"/>
      <c r="I34" s="621"/>
      <c r="J34" s="615"/>
      <c r="K34" s="616"/>
      <c r="L34" s="621"/>
      <c r="M34" s="615"/>
      <c r="N34" s="615"/>
      <c r="O34" s="615"/>
      <c r="P34" s="615"/>
      <c r="Q34" s="615"/>
      <c r="R34" s="615"/>
      <c r="S34" s="615"/>
      <c r="T34" s="615"/>
      <c r="U34" s="615"/>
      <c r="V34" s="616"/>
      <c r="W34" s="624"/>
      <c r="X34" s="626"/>
      <c r="Y34" s="638"/>
      <c r="Z34" s="638"/>
      <c r="AA34" s="638"/>
      <c r="AB34" s="638"/>
      <c r="AC34" s="638"/>
      <c r="AD34" s="638"/>
      <c r="AE34" s="638"/>
      <c r="AF34" s="638"/>
      <c r="AG34" s="638"/>
      <c r="AH34" s="638"/>
      <c r="AI34" s="638"/>
      <c r="AJ34" s="639"/>
      <c r="AK34" s="643"/>
      <c r="AL34" s="646"/>
      <c r="AM34" s="638"/>
      <c r="AN34" s="638"/>
      <c r="AO34" s="638"/>
      <c r="AP34" s="638"/>
      <c r="AQ34" s="638"/>
      <c r="AR34" s="638"/>
      <c r="AS34" s="638"/>
      <c r="AT34" s="638"/>
      <c r="AU34" s="638"/>
      <c r="AV34" s="638"/>
      <c r="AW34" s="639"/>
      <c r="AX34" s="643"/>
      <c r="AY34" s="649"/>
    </row>
    <row r="35" spans="1:51" s="199" customFormat="1" ht="10.5" customHeight="1" thickBot="1" x14ac:dyDescent="0.3">
      <c r="A35" s="614"/>
      <c r="B35" s="615"/>
      <c r="C35" s="615"/>
      <c r="D35" s="615"/>
      <c r="E35" s="615"/>
      <c r="F35" s="615"/>
      <c r="G35" s="615"/>
      <c r="H35" s="616"/>
      <c r="I35" s="621"/>
      <c r="J35" s="615"/>
      <c r="K35" s="616"/>
      <c r="L35" s="628" t="s">
        <v>79</v>
      </c>
      <c r="M35" s="629"/>
      <c r="N35" s="629"/>
      <c r="O35" s="629"/>
      <c r="P35" s="629"/>
      <c r="Q35" s="629"/>
      <c r="R35" s="629"/>
      <c r="S35" s="630"/>
      <c r="T35" s="631" t="s">
        <v>80</v>
      </c>
      <c r="U35" s="631" t="s">
        <v>81</v>
      </c>
      <c r="V35" s="631" t="s">
        <v>82</v>
      </c>
      <c r="W35" s="624"/>
      <c r="X35" s="626"/>
      <c r="Y35" s="640"/>
      <c r="Z35" s="640"/>
      <c r="AA35" s="640"/>
      <c r="AB35" s="640"/>
      <c r="AC35" s="640"/>
      <c r="AD35" s="640"/>
      <c r="AE35" s="640"/>
      <c r="AF35" s="640"/>
      <c r="AG35" s="640"/>
      <c r="AH35" s="640"/>
      <c r="AI35" s="640"/>
      <c r="AJ35" s="641"/>
      <c r="AK35" s="643"/>
      <c r="AL35" s="647"/>
      <c r="AM35" s="640"/>
      <c r="AN35" s="640"/>
      <c r="AO35" s="640"/>
      <c r="AP35" s="640"/>
      <c r="AQ35" s="640"/>
      <c r="AR35" s="640"/>
      <c r="AS35" s="640"/>
      <c r="AT35" s="640"/>
      <c r="AU35" s="640"/>
      <c r="AV35" s="640"/>
      <c r="AW35" s="641"/>
      <c r="AX35" s="643"/>
      <c r="AY35" s="649"/>
    </row>
    <row r="36" spans="1:51" s="199" customFormat="1" ht="8.25" customHeight="1" thickBot="1" x14ac:dyDescent="0.3">
      <c r="A36" s="614"/>
      <c r="B36" s="615"/>
      <c r="C36" s="615"/>
      <c r="D36" s="615"/>
      <c r="E36" s="615"/>
      <c r="F36" s="615"/>
      <c r="G36" s="615"/>
      <c r="H36" s="616"/>
      <c r="I36" s="621"/>
      <c r="J36" s="615"/>
      <c r="K36" s="616"/>
      <c r="L36" s="621"/>
      <c r="M36" s="615"/>
      <c r="N36" s="615"/>
      <c r="O36" s="615"/>
      <c r="P36" s="615"/>
      <c r="Q36" s="615"/>
      <c r="R36" s="615"/>
      <c r="S36" s="616"/>
      <c r="T36" s="632"/>
      <c r="U36" s="632"/>
      <c r="V36" s="632"/>
      <c r="W36" s="634" t="s">
        <v>142</v>
      </c>
      <c r="X36" s="626"/>
      <c r="Y36" s="653" t="s">
        <v>50</v>
      </c>
      <c r="Z36" s="655" t="s">
        <v>53</v>
      </c>
      <c r="AA36" s="655" t="s">
        <v>55</v>
      </c>
      <c r="AB36" s="655" t="s">
        <v>57</v>
      </c>
      <c r="AC36" s="657" t="s">
        <v>59</v>
      </c>
      <c r="AD36" s="657" t="s">
        <v>61</v>
      </c>
      <c r="AE36" s="657" t="s">
        <v>101</v>
      </c>
      <c r="AF36" s="657" t="s">
        <v>107</v>
      </c>
      <c r="AG36" s="651" t="s">
        <v>143</v>
      </c>
      <c r="AH36" s="651" t="s">
        <v>144</v>
      </c>
      <c r="AI36" s="651" t="s">
        <v>145</v>
      </c>
      <c r="AJ36" s="651" t="s">
        <v>146</v>
      </c>
      <c r="AK36" s="643"/>
      <c r="AL36" s="655" t="s">
        <v>50</v>
      </c>
      <c r="AM36" s="655" t="s">
        <v>53</v>
      </c>
      <c r="AN36" s="655" t="s">
        <v>55</v>
      </c>
      <c r="AO36" s="655" t="s">
        <v>57</v>
      </c>
      <c r="AP36" s="657" t="s">
        <v>59</v>
      </c>
      <c r="AQ36" s="657" t="s">
        <v>61</v>
      </c>
      <c r="AR36" s="657" t="s">
        <v>101</v>
      </c>
      <c r="AS36" s="657" t="s">
        <v>107</v>
      </c>
      <c r="AT36" s="651" t="s">
        <v>143</v>
      </c>
      <c r="AU36" s="651" t="s">
        <v>144</v>
      </c>
      <c r="AV36" s="651" t="s">
        <v>145</v>
      </c>
      <c r="AW36" s="651" t="s">
        <v>146</v>
      </c>
      <c r="AX36" s="643"/>
      <c r="AY36" s="649"/>
    </row>
    <row r="37" spans="1:51" s="199" customFormat="1" ht="12.75" customHeight="1" thickBot="1" x14ac:dyDescent="0.3">
      <c r="A37" s="617"/>
      <c r="B37" s="618"/>
      <c r="C37" s="618"/>
      <c r="D37" s="618"/>
      <c r="E37" s="618"/>
      <c r="F37" s="618"/>
      <c r="G37" s="618"/>
      <c r="H37" s="619"/>
      <c r="I37" s="622"/>
      <c r="J37" s="618"/>
      <c r="K37" s="619"/>
      <c r="L37" s="622"/>
      <c r="M37" s="618"/>
      <c r="N37" s="618"/>
      <c r="O37" s="618"/>
      <c r="P37" s="618"/>
      <c r="Q37" s="618"/>
      <c r="R37" s="618"/>
      <c r="S37" s="619"/>
      <c r="T37" s="633"/>
      <c r="U37" s="633"/>
      <c r="V37" s="633"/>
      <c r="W37" s="635"/>
      <c r="X37" s="627"/>
      <c r="Y37" s="654"/>
      <c r="Z37" s="656"/>
      <c r="AA37" s="656"/>
      <c r="AB37" s="656"/>
      <c r="AC37" s="658"/>
      <c r="AD37" s="658"/>
      <c r="AE37" s="658"/>
      <c r="AF37" s="658"/>
      <c r="AG37" s="652"/>
      <c r="AH37" s="652"/>
      <c r="AI37" s="652"/>
      <c r="AJ37" s="652"/>
      <c r="AK37" s="644"/>
      <c r="AL37" s="656"/>
      <c r="AM37" s="656"/>
      <c r="AN37" s="656"/>
      <c r="AO37" s="656"/>
      <c r="AP37" s="658"/>
      <c r="AQ37" s="658"/>
      <c r="AR37" s="658"/>
      <c r="AS37" s="658"/>
      <c r="AT37" s="652"/>
      <c r="AU37" s="652"/>
      <c r="AV37" s="652"/>
      <c r="AW37" s="652"/>
      <c r="AX37" s="644"/>
      <c r="AY37" s="650"/>
    </row>
    <row r="38" spans="1:51" s="199" customFormat="1" ht="15.75" x14ac:dyDescent="0.25">
      <c r="A38" s="661">
        <v>1</v>
      </c>
      <c r="B38" s="662"/>
      <c r="C38" s="662"/>
      <c r="D38" s="662"/>
      <c r="E38" s="662"/>
      <c r="F38" s="662"/>
      <c r="G38" s="662"/>
      <c r="H38" s="663"/>
      <c r="I38" s="664">
        <v>2</v>
      </c>
      <c r="J38" s="665"/>
      <c r="K38" s="666"/>
      <c r="L38" s="664">
        <v>3</v>
      </c>
      <c r="M38" s="665"/>
      <c r="N38" s="665"/>
      <c r="O38" s="665"/>
      <c r="P38" s="665"/>
      <c r="Q38" s="665"/>
      <c r="R38" s="665"/>
      <c r="S38" s="665"/>
      <c r="T38" s="234">
        <v>4</v>
      </c>
      <c r="U38" s="235">
        <v>5</v>
      </c>
      <c r="V38" s="236">
        <v>6</v>
      </c>
      <c r="W38" s="237" t="s">
        <v>147</v>
      </c>
      <c r="X38" s="237">
        <v>8</v>
      </c>
      <c r="Y38" s="238"/>
      <c r="Z38" s="239"/>
      <c r="AA38" s="239"/>
      <c r="AB38" s="239"/>
      <c r="AC38" s="240"/>
      <c r="AD38" s="240"/>
      <c r="AE38" s="240"/>
      <c r="AF38" s="240"/>
      <c r="AG38" s="241"/>
      <c r="AH38" s="241"/>
      <c r="AI38" s="241"/>
      <c r="AJ38" s="242"/>
      <c r="AK38" s="243"/>
      <c r="AL38" s="244"/>
      <c r="AM38" s="239"/>
      <c r="AN38" s="239"/>
      <c r="AO38" s="239"/>
      <c r="AP38" s="240"/>
      <c r="AQ38" s="240"/>
      <c r="AR38" s="240"/>
      <c r="AS38" s="240"/>
      <c r="AT38" s="241"/>
      <c r="AU38" s="241"/>
      <c r="AV38" s="241"/>
      <c r="AW38" s="242"/>
      <c r="AX38" s="243"/>
      <c r="AY38" s="245"/>
    </row>
    <row r="39" spans="1:51" s="268" customFormat="1" ht="15" customHeight="1" x14ac:dyDescent="0.25">
      <c r="A39" s="246"/>
      <c r="B39" s="247" t="s">
        <v>59</v>
      </c>
      <c r="C39" s="247"/>
      <c r="D39" s="247"/>
      <c r="E39" s="247"/>
      <c r="F39" s="247"/>
      <c r="G39" s="247"/>
      <c r="H39" s="248"/>
      <c r="I39" s="249"/>
      <c r="J39" s="250" t="s">
        <v>148</v>
      </c>
      <c r="K39" s="251"/>
      <c r="L39" s="252"/>
      <c r="M39" s="253"/>
      <c r="N39" s="253"/>
      <c r="O39" s="253"/>
      <c r="P39" s="253"/>
      <c r="Q39" s="253"/>
      <c r="R39" s="253"/>
      <c r="S39" s="253"/>
      <c r="T39" s="254"/>
      <c r="U39" s="254"/>
      <c r="V39" s="255"/>
      <c r="W39" s="256">
        <f>W40</f>
        <v>35261800</v>
      </c>
      <c r="X39" s="257"/>
      <c r="Y39" s="258"/>
      <c r="Z39" s="259"/>
      <c r="AA39" s="260"/>
      <c r="AB39" s="261"/>
      <c r="AC39" s="262"/>
      <c r="AD39" s="262"/>
      <c r="AE39" s="262"/>
      <c r="AF39" s="262"/>
      <c r="AG39" s="263"/>
      <c r="AH39" s="263"/>
      <c r="AI39" s="263"/>
      <c r="AJ39" s="264"/>
      <c r="AK39" s="265"/>
      <c r="AL39" s="266"/>
      <c r="AM39" s="259"/>
      <c r="AN39" s="260"/>
      <c r="AO39" s="261"/>
      <c r="AP39" s="262"/>
      <c r="AQ39" s="262"/>
      <c r="AR39" s="262"/>
      <c r="AS39" s="262"/>
      <c r="AT39" s="263"/>
      <c r="AU39" s="263"/>
      <c r="AV39" s="263"/>
      <c r="AW39" s="264"/>
      <c r="AX39" s="265"/>
      <c r="AY39" s="267"/>
    </row>
    <row r="40" spans="1:51" s="268" customFormat="1" ht="15" customHeight="1" x14ac:dyDescent="0.25">
      <c r="A40" s="269"/>
      <c r="B40" s="270" t="s">
        <v>59</v>
      </c>
      <c r="C40" s="334" t="s">
        <v>50</v>
      </c>
      <c r="D40" s="271"/>
      <c r="E40" s="271"/>
      <c r="F40" s="272"/>
      <c r="G40" s="270"/>
      <c r="H40" s="273"/>
      <c r="I40" s="274"/>
      <c r="J40" s="275" t="s">
        <v>149</v>
      </c>
      <c r="K40" s="276"/>
      <c r="L40" s="277"/>
      <c r="M40" s="278"/>
      <c r="N40" s="278"/>
      <c r="O40" s="278"/>
      <c r="P40" s="278"/>
      <c r="Q40" s="278"/>
      <c r="R40" s="278"/>
      <c r="S40" s="278"/>
      <c r="T40" s="279"/>
      <c r="U40" s="279"/>
      <c r="V40" s="280"/>
      <c r="W40" s="281">
        <f>W41</f>
        <v>35261800</v>
      </c>
      <c r="X40" s="257"/>
      <c r="Y40" s="258"/>
      <c r="Z40" s="259"/>
      <c r="AA40" s="261"/>
      <c r="AB40" s="261"/>
      <c r="AC40" s="262"/>
      <c r="AD40" s="262"/>
      <c r="AE40" s="262"/>
      <c r="AF40" s="262"/>
      <c r="AG40" s="263"/>
      <c r="AH40" s="263"/>
      <c r="AI40" s="263"/>
      <c r="AJ40" s="264"/>
      <c r="AK40" s="265"/>
      <c r="AL40" s="266"/>
      <c r="AM40" s="259"/>
      <c r="AN40" s="261"/>
      <c r="AO40" s="261"/>
      <c r="AP40" s="262"/>
      <c r="AQ40" s="262"/>
      <c r="AR40" s="262"/>
      <c r="AS40" s="262"/>
      <c r="AT40" s="263"/>
      <c r="AU40" s="263"/>
      <c r="AV40" s="263"/>
      <c r="AW40" s="264"/>
      <c r="AX40" s="265"/>
      <c r="AY40" s="267"/>
    </row>
    <row r="41" spans="1:51" s="268" customFormat="1" ht="15" customHeight="1" x14ac:dyDescent="0.25">
      <c r="A41" s="269"/>
      <c r="B41" s="270" t="s">
        <v>59</v>
      </c>
      <c r="C41" s="334" t="s">
        <v>50</v>
      </c>
      <c r="D41" s="288" t="s">
        <v>67</v>
      </c>
      <c r="E41" s="271"/>
      <c r="F41" s="271"/>
      <c r="G41" s="270"/>
      <c r="H41" s="273"/>
      <c r="I41" s="282"/>
      <c r="J41" s="283" t="s">
        <v>150</v>
      </c>
      <c r="K41" s="284"/>
      <c r="L41" s="285"/>
      <c r="M41" s="286"/>
      <c r="N41" s="286"/>
      <c r="O41" s="286"/>
      <c r="P41" s="286"/>
      <c r="Q41" s="286"/>
      <c r="R41" s="286"/>
      <c r="S41" s="286"/>
      <c r="T41" s="279"/>
      <c r="U41" s="279"/>
      <c r="V41" s="280"/>
      <c r="W41" s="281">
        <f>W42+W109</f>
        <v>35261800</v>
      </c>
      <c r="X41" s="287"/>
      <c r="Y41" s="258"/>
      <c r="Z41" s="259"/>
      <c r="AA41" s="261"/>
      <c r="AB41" s="261"/>
      <c r="AC41" s="262"/>
      <c r="AD41" s="262"/>
      <c r="AE41" s="262"/>
      <c r="AF41" s="262"/>
      <c r="AG41" s="263"/>
      <c r="AH41" s="263"/>
      <c r="AI41" s="263"/>
      <c r="AJ41" s="264"/>
      <c r="AK41" s="265"/>
      <c r="AL41" s="266"/>
      <c r="AM41" s="259"/>
      <c r="AN41" s="261"/>
      <c r="AO41" s="261"/>
      <c r="AP41" s="262"/>
      <c r="AQ41" s="262"/>
      <c r="AR41" s="262"/>
      <c r="AS41" s="262"/>
      <c r="AT41" s="263"/>
      <c r="AU41" s="263"/>
      <c r="AV41" s="263"/>
      <c r="AW41" s="264"/>
      <c r="AX41" s="265"/>
      <c r="AY41" s="267"/>
    </row>
    <row r="42" spans="1:51" s="305" customFormat="1" ht="15" customHeight="1" x14ac:dyDescent="0.25">
      <c r="A42" s="269"/>
      <c r="B42" s="270" t="s">
        <v>59</v>
      </c>
      <c r="C42" s="270" t="s">
        <v>50</v>
      </c>
      <c r="D42" s="288" t="s">
        <v>67</v>
      </c>
      <c r="E42" s="288" t="s">
        <v>65</v>
      </c>
      <c r="F42" s="271"/>
      <c r="G42" s="270"/>
      <c r="H42" s="273"/>
      <c r="I42" s="289"/>
      <c r="J42" s="275" t="s">
        <v>151</v>
      </c>
      <c r="K42" s="290"/>
      <c r="L42" s="291"/>
      <c r="M42" s="292"/>
      <c r="N42" s="292"/>
      <c r="O42" s="292"/>
      <c r="P42" s="292"/>
      <c r="Q42" s="292"/>
      <c r="R42" s="292"/>
      <c r="S42" s="292"/>
      <c r="T42" s="293"/>
      <c r="U42" s="293"/>
      <c r="V42" s="294"/>
      <c r="W42" s="295">
        <f>W43</f>
        <v>25267200</v>
      </c>
      <c r="X42" s="296"/>
      <c r="Y42" s="297"/>
      <c r="Z42" s="259"/>
      <c r="AA42" s="298"/>
      <c r="AB42" s="298"/>
      <c r="AC42" s="299"/>
      <c r="AD42" s="299"/>
      <c r="AE42" s="299"/>
      <c r="AF42" s="299"/>
      <c r="AG42" s="300"/>
      <c r="AH42" s="300"/>
      <c r="AI42" s="300"/>
      <c r="AJ42" s="301"/>
      <c r="AK42" s="302"/>
      <c r="AL42" s="303"/>
      <c r="AM42" s="259"/>
      <c r="AN42" s="298"/>
      <c r="AO42" s="298"/>
      <c r="AP42" s="299"/>
      <c r="AQ42" s="299"/>
      <c r="AR42" s="299"/>
      <c r="AS42" s="299"/>
      <c r="AT42" s="300"/>
      <c r="AU42" s="300"/>
      <c r="AV42" s="300"/>
      <c r="AW42" s="301"/>
      <c r="AX42" s="302"/>
      <c r="AY42" s="304"/>
    </row>
    <row r="43" spans="1:51" s="305" customFormat="1" ht="15" customHeight="1" x14ac:dyDescent="0.25">
      <c r="A43" s="269"/>
      <c r="B43" s="270" t="s">
        <v>59</v>
      </c>
      <c r="C43" s="270" t="s">
        <v>50</v>
      </c>
      <c r="D43" s="288" t="s">
        <v>67</v>
      </c>
      <c r="E43" s="288" t="s">
        <v>65</v>
      </c>
      <c r="F43" s="271" t="s">
        <v>65</v>
      </c>
      <c r="G43" s="270"/>
      <c r="H43" s="273"/>
      <c r="I43" s="289"/>
      <c r="J43" s="275" t="s">
        <v>152</v>
      </c>
      <c r="K43" s="290"/>
      <c r="L43" s="291"/>
      <c r="M43" s="292"/>
      <c r="N43" s="292"/>
      <c r="O43" s="292"/>
      <c r="P43" s="292"/>
      <c r="Q43" s="292"/>
      <c r="R43" s="292"/>
      <c r="S43" s="292"/>
      <c r="T43" s="293"/>
      <c r="U43" s="293"/>
      <c r="V43" s="294"/>
      <c r="W43" s="295">
        <f>W44+W50+W65+W70+W73+W84+W98+W102</f>
        <v>25267200</v>
      </c>
      <c r="X43" s="296"/>
      <c r="Y43" s="297"/>
      <c r="Z43" s="259"/>
      <c r="AA43" s="298"/>
      <c r="AB43" s="298"/>
      <c r="AC43" s="299"/>
      <c r="AD43" s="299"/>
      <c r="AE43" s="299"/>
      <c r="AF43" s="299"/>
      <c r="AG43" s="300"/>
      <c r="AH43" s="300"/>
      <c r="AI43" s="300"/>
      <c r="AJ43" s="301"/>
      <c r="AK43" s="302"/>
      <c r="AL43" s="303"/>
      <c r="AM43" s="259"/>
      <c r="AN43" s="298"/>
      <c r="AO43" s="298"/>
      <c r="AP43" s="299"/>
      <c r="AQ43" s="299"/>
      <c r="AR43" s="299"/>
      <c r="AS43" s="299"/>
      <c r="AT43" s="300"/>
      <c r="AU43" s="300"/>
      <c r="AV43" s="300"/>
      <c r="AW43" s="301"/>
      <c r="AX43" s="302"/>
      <c r="AY43" s="304"/>
    </row>
    <row r="44" spans="1:51" s="330" customFormat="1" ht="15" customHeight="1" x14ac:dyDescent="0.25">
      <c r="A44" s="306"/>
      <c r="B44" s="307" t="s">
        <v>59</v>
      </c>
      <c r="C44" s="307" t="s">
        <v>50</v>
      </c>
      <c r="D44" s="309" t="s">
        <v>67</v>
      </c>
      <c r="E44" s="309" t="s">
        <v>65</v>
      </c>
      <c r="F44" s="308" t="s">
        <v>65</v>
      </c>
      <c r="G44" s="310" t="s">
        <v>571</v>
      </c>
      <c r="H44" s="311"/>
      <c r="I44" s="312"/>
      <c r="J44" s="313" t="s">
        <v>826</v>
      </c>
      <c r="K44" s="314"/>
      <c r="L44" s="315"/>
      <c r="M44" s="316"/>
      <c r="N44" s="316"/>
      <c r="O44" s="316"/>
      <c r="P44" s="316"/>
      <c r="Q44" s="316"/>
      <c r="R44" s="316"/>
      <c r="S44" s="316"/>
      <c r="T44" s="317"/>
      <c r="U44" s="317"/>
      <c r="V44" s="318"/>
      <c r="W44" s="319">
        <f>SUM(W45:W48)</f>
        <v>1509000</v>
      </c>
      <c r="X44" s="320"/>
      <c r="Y44" s="321"/>
      <c r="Z44" s="322"/>
      <c r="AA44" s="323"/>
      <c r="AB44" s="323"/>
      <c r="AC44" s="324"/>
      <c r="AD44" s="324"/>
      <c r="AE44" s="324"/>
      <c r="AF44" s="324"/>
      <c r="AG44" s="325"/>
      <c r="AH44" s="325"/>
      <c r="AI44" s="325"/>
      <c r="AJ44" s="326"/>
      <c r="AK44" s="327"/>
      <c r="AL44" s="328"/>
      <c r="AM44" s="322"/>
      <c r="AN44" s="323"/>
      <c r="AO44" s="323"/>
      <c r="AP44" s="324"/>
      <c r="AQ44" s="324"/>
      <c r="AR44" s="324"/>
      <c r="AS44" s="324"/>
      <c r="AT44" s="325"/>
      <c r="AU44" s="325"/>
      <c r="AV44" s="325"/>
      <c r="AW44" s="326"/>
      <c r="AX44" s="327"/>
      <c r="AY44" s="329"/>
    </row>
    <row r="45" spans="1:51" s="330" customFormat="1" ht="15" customHeight="1" x14ac:dyDescent="0.25">
      <c r="A45" s="306"/>
      <c r="B45" s="307"/>
      <c r="C45" s="307"/>
      <c r="D45" s="308"/>
      <c r="E45" s="308"/>
      <c r="F45" s="308"/>
      <c r="G45" s="307"/>
      <c r="H45" s="311"/>
      <c r="I45" s="312"/>
      <c r="J45" s="331" t="s">
        <v>572</v>
      </c>
      <c r="K45" s="314"/>
      <c r="L45" s="315"/>
      <c r="M45" s="316"/>
      <c r="N45" s="316"/>
      <c r="O45" s="316"/>
      <c r="P45" s="316"/>
      <c r="Q45" s="316"/>
      <c r="R45" s="316">
        <v>20</v>
      </c>
      <c r="S45" s="316" t="s">
        <v>573</v>
      </c>
      <c r="T45" s="317">
        <f>R45</f>
        <v>20</v>
      </c>
      <c r="U45" s="317" t="s">
        <v>573</v>
      </c>
      <c r="V45" s="318">
        <v>34000</v>
      </c>
      <c r="W45" s="484">
        <f t="shared" ref="W45:W47" si="0">V45*T45</f>
        <v>680000</v>
      </c>
      <c r="X45" s="320" t="s">
        <v>566</v>
      </c>
      <c r="Y45" s="321"/>
      <c r="Z45" s="322"/>
      <c r="AA45" s="323"/>
      <c r="AB45" s="323"/>
      <c r="AC45" s="324"/>
      <c r="AD45" s="324"/>
      <c r="AE45" s="324"/>
      <c r="AF45" s="324"/>
      <c r="AG45" s="325"/>
      <c r="AH45" s="325"/>
      <c r="AI45" s="325"/>
      <c r="AJ45" s="326"/>
      <c r="AK45" s="332">
        <f t="shared" ref="AK45:AK48" si="1">SUM(Y45:AJ45)</f>
        <v>0</v>
      </c>
      <c r="AL45" s="328"/>
      <c r="AM45" s="322"/>
      <c r="AN45" s="323"/>
      <c r="AO45" s="323"/>
      <c r="AP45" s="324"/>
      <c r="AQ45" s="324"/>
      <c r="AR45" s="324"/>
      <c r="AS45" s="324"/>
      <c r="AT45" s="325"/>
      <c r="AU45" s="325"/>
      <c r="AV45" s="325"/>
      <c r="AW45" s="326"/>
      <c r="AX45" s="332">
        <f t="shared" ref="AX45" si="2">SUM(AL45:AW45)</f>
        <v>0</v>
      </c>
      <c r="AY45" s="333">
        <f t="shared" ref="AY45" si="3">AK45-AX45</f>
        <v>0</v>
      </c>
    </row>
    <row r="46" spans="1:51" s="330" customFormat="1" ht="15" customHeight="1" x14ac:dyDescent="0.25">
      <c r="A46" s="306"/>
      <c r="B46" s="307"/>
      <c r="C46" s="307"/>
      <c r="D46" s="308"/>
      <c r="E46" s="308"/>
      <c r="F46" s="308"/>
      <c r="G46" s="307"/>
      <c r="H46" s="311"/>
      <c r="I46" s="312"/>
      <c r="J46" s="331" t="s">
        <v>630</v>
      </c>
      <c r="K46" s="314"/>
      <c r="L46" s="315"/>
      <c r="M46" s="316"/>
      <c r="N46" s="316"/>
      <c r="O46" s="316"/>
      <c r="P46" s="316"/>
      <c r="Q46" s="316"/>
      <c r="R46" s="316">
        <v>7</v>
      </c>
      <c r="S46" s="316" t="s">
        <v>631</v>
      </c>
      <c r="T46" s="317">
        <f>R46</f>
        <v>7</v>
      </c>
      <c r="U46" s="317" t="s">
        <v>631</v>
      </c>
      <c r="V46" s="318">
        <v>47000</v>
      </c>
      <c r="W46" s="484">
        <f t="shared" si="0"/>
        <v>329000</v>
      </c>
      <c r="X46" s="320" t="s">
        <v>566</v>
      </c>
      <c r="Y46" s="321"/>
      <c r="Z46" s="322"/>
      <c r="AA46" s="323"/>
      <c r="AB46" s="323"/>
      <c r="AC46" s="324"/>
      <c r="AD46" s="324"/>
      <c r="AE46" s="324"/>
      <c r="AF46" s="324"/>
      <c r="AG46" s="325"/>
      <c r="AH46" s="325"/>
      <c r="AI46" s="325"/>
      <c r="AJ46" s="326"/>
      <c r="AK46" s="332">
        <f t="shared" si="1"/>
        <v>0</v>
      </c>
      <c r="AL46" s="328"/>
      <c r="AM46" s="322"/>
      <c r="AN46" s="323"/>
      <c r="AO46" s="323"/>
      <c r="AP46" s="324"/>
      <c r="AQ46" s="324"/>
      <c r="AR46" s="324"/>
      <c r="AS46" s="324"/>
      <c r="AT46" s="325"/>
      <c r="AU46" s="325"/>
      <c r="AV46" s="325"/>
      <c r="AW46" s="326"/>
      <c r="AX46" s="332">
        <f t="shared" ref="AX46" si="4">SUM(AL46:AW46)</f>
        <v>0</v>
      </c>
      <c r="AY46" s="333">
        <f t="shared" ref="AY46" si="5">AK46-AX46</f>
        <v>0</v>
      </c>
    </row>
    <row r="47" spans="1:51" s="330" customFormat="1" ht="15" customHeight="1" x14ac:dyDescent="0.25">
      <c r="A47" s="306"/>
      <c r="B47" s="307"/>
      <c r="C47" s="307"/>
      <c r="D47" s="308"/>
      <c r="E47" s="308"/>
      <c r="F47" s="308"/>
      <c r="G47" s="307"/>
      <c r="H47" s="311"/>
      <c r="I47" s="312"/>
      <c r="J47" s="331" t="s">
        <v>893</v>
      </c>
      <c r="K47" s="314"/>
      <c r="L47" s="315"/>
      <c r="M47" s="316"/>
      <c r="N47" s="316"/>
      <c r="O47" s="316"/>
      <c r="P47" s="316"/>
      <c r="Q47" s="316"/>
      <c r="R47" s="316">
        <v>10</v>
      </c>
      <c r="S47" s="316" t="s">
        <v>580</v>
      </c>
      <c r="T47" s="317">
        <f>R47</f>
        <v>10</v>
      </c>
      <c r="U47" s="317" t="s">
        <v>894</v>
      </c>
      <c r="V47" s="318">
        <v>50000</v>
      </c>
      <c r="W47" s="484">
        <f t="shared" si="0"/>
        <v>500000</v>
      </c>
      <c r="X47" s="320" t="s">
        <v>566</v>
      </c>
      <c r="Y47" s="321"/>
      <c r="Z47" s="322"/>
      <c r="AA47" s="323"/>
      <c r="AB47" s="323"/>
      <c r="AC47" s="324"/>
      <c r="AD47" s="324"/>
      <c r="AE47" s="324"/>
      <c r="AF47" s="324"/>
      <c r="AG47" s="325"/>
      <c r="AH47" s="325"/>
      <c r="AI47" s="325"/>
      <c r="AJ47" s="326"/>
      <c r="AK47" s="332">
        <f t="shared" si="1"/>
        <v>0</v>
      </c>
      <c r="AL47" s="328"/>
      <c r="AM47" s="322"/>
      <c r="AN47" s="323"/>
      <c r="AO47" s="323"/>
      <c r="AP47" s="324"/>
      <c r="AQ47" s="324"/>
      <c r="AR47" s="324"/>
      <c r="AS47" s="324"/>
      <c r="AT47" s="325"/>
      <c r="AU47" s="325"/>
      <c r="AV47" s="325"/>
      <c r="AW47" s="326"/>
      <c r="AX47" s="332">
        <f t="shared" ref="AX47" si="6">SUM(AL47:AW47)</f>
        <v>0</v>
      </c>
      <c r="AY47" s="333">
        <f t="shared" ref="AY47" si="7">AK47-AX47</f>
        <v>0</v>
      </c>
    </row>
    <row r="48" spans="1:51" s="330" customFormat="1" ht="15" customHeight="1" x14ac:dyDescent="0.25">
      <c r="A48" s="306"/>
      <c r="B48" s="307"/>
      <c r="C48" s="307"/>
      <c r="D48" s="308"/>
      <c r="E48" s="308"/>
      <c r="F48" s="308"/>
      <c r="G48" s="307"/>
      <c r="H48" s="311"/>
      <c r="I48" s="312"/>
      <c r="J48" s="331"/>
      <c r="K48" s="314"/>
      <c r="L48" s="315"/>
      <c r="M48" s="316"/>
      <c r="N48" s="316"/>
      <c r="O48" s="316"/>
      <c r="P48" s="316"/>
      <c r="Q48" s="316"/>
      <c r="R48" s="316"/>
      <c r="S48" s="316"/>
      <c r="T48" s="317"/>
      <c r="U48" s="317"/>
      <c r="V48" s="318"/>
      <c r="W48" s="484"/>
      <c r="X48" s="486"/>
      <c r="Y48" s="321"/>
      <c r="Z48" s="322"/>
      <c r="AA48" s="323"/>
      <c r="AB48" s="323"/>
      <c r="AC48" s="324"/>
      <c r="AD48" s="324"/>
      <c r="AE48" s="324"/>
      <c r="AF48" s="324"/>
      <c r="AG48" s="325"/>
      <c r="AH48" s="325"/>
      <c r="AI48" s="325"/>
      <c r="AJ48" s="326"/>
      <c r="AK48" s="332">
        <f t="shared" si="1"/>
        <v>0</v>
      </c>
      <c r="AL48" s="328"/>
      <c r="AM48" s="322"/>
      <c r="AN48" s="323"/>
      <c r="AO48" s="323"/>
      <c r="AP48" s="324"/>
      <c r="AQ48" s="324"/>
      <c r="AR48" s="324"/>
      <c r="AS48" s="324"/>
      <c r="AT48" s="325"/>
      <c r="AU48" s="325"/>
      <c r="AV48" s="325"/>
      <c r="AW48" s="326"/>
      <c r="AX48" s="332">
        <f t="shared" ref="AX48" si="8">SUM(AL48:AW48)</f>
        <v>0</v>
      </c>
      <c r="AY48" s="333">
        <f t="shared" ref="AY48" si="9">AK48-AX48</f>
        <v>0</v>
      </c>
    </row>
    <row r="49" spans="1:51" s="330" customFormat="1" ht="15" customHeight="1" x14ac:dyDescent="0.25">
      <c r="A49" s="306"/>
      <c r="B49" s="307"/>
      <c r="C49" s="307"/>
      <c r="D49" s="308"/>
      <c r="E49" s="308"/>
      <c r="F49" s="308"/>
      <c r="G49" s="307"/>
      <c r="H49" s="311"/>
      <c r="I49" s="312"/>
      <c r="J49" s="331"/>
      <c r="K49" s="314"/>
      <c r="L49" s="315"/>
      <c r="M49" s="316"/>
      <c r="N49" s="316"/>
      <c r="O49" s="316"/>
      <c r="P49" s="316"/>
      <c r="Q49" s="316"/>
      <c r="R49" s="316"/>
      <c r="S49" s="316"/>
      <c r="T49" s="317"/>
      <c r="U49" s="317"/>
      <c r="V49" s="318"/>
      <c r="W49" s="319"/>
      <c r="X49" s="320"/>
      <c r="Y49" s="321"/>
      <c r="Z49" s="322"/>
      <c r="AA49" s="323"/>
      <c r="AB49" s="323"/>
      <c r="AC49" s="324"/>
      <c r="AD49" s="324"/>
      <c r="AE49" s="324"/>
      <c r="AF49" s="324"/>
      <c r="AG49" s="325"/>
      <c r="AH49" s="325"/>
      <c r="AI49" s="325"/>
      <c r="AJ49" s="326"/>
      <c r="AK49" s="332"/>
      <c r="AL49" s="328"/>
      <c r="AM49" s="322"/>
      <c r="AN49" s="323"/>
      <c r="AO49" s="323"/>
      <c r="AP49" s="324"/>
      <c r="AQ49" s="324"/>
      <c r="AR49" s="324"/>
      <c r="AS49" s="324"/>
      <c r="AT49" s="325"/>
      <c r="AU49" s="325"/>
      <c r="AV49" s="325"/>
      <c r="AW49" s="326"/>
      <c r="AX49" s="332"/>
      <c r="AY49" s="333"/>
    </row>
    <row r="50" spans="1:51" s="330" customFormat="1" ht="15" customHeight="1" x14ac:dyDescent="0.25">
      <c r="A50" s="306"/>
      <c r="B50" s="307" t="s">
        <v>59</v>
      </c>
      <c r="C50" s="307" t="s">
        <v>50</v>
      </c>
      <c r="D50" s="309" t="s">
        <v>67</v>
      </c>
      <c r="E50" s="309" t="s">
        <v>65</v>
      </c>
      <c r="F50" s="308" t="s">
        <v>65</v>
      </c>
      <c r="G50" s="310" t="s">
        <v>574</v>
      </c>
      <c r="H50" s="311"/>
      <c r="I50" s="312"/>
      <c r="J50" s="331" t="s">
        <v>575</v>
      </c>
      <c r="K50" s="314"/>
      <c r="L50" s="315"/>
      <c r="M50" s="316"/>
      <c r="N50" s="316"/>
      <c r="O50" s="316"/>
      <c r="P50" s="316"/>
      <c r="Q50" s="316"/>
      <c r="R50" s="316"/>
      <c r="S50" s="316"/>
      <c r="T50" s="317"/>
      <c r="U50" s="317"/>
      <c r="V50" s="318"/>
      <c r="W50" s="319">
        <f>SUM(W51:W63)</f>
        <v>4178000</v>
      </c>
      <c r="X50" s="320"/>
      <c r="Y50" s="321"/>
      <c r="Z50" s="322"/>
      <c r="AA50" s="323"/>
      <c r="AB50" s="323"/>
      <c r="AC50" s="324"/>
      <c r="AD50" s="324"/>
      <c r="AE50" s="324"/>
      <c r="AF50" s="324"/>
      <c r="AG50" s="325"/>
      <c r="AH50" s="325"/>
      <c r="AI50" s="325"/>
      <c r="AJ50" s="326"/>
      <c r="AK50" s="332"/>
      <c r="AL50" s="328"/>
      <c r="AM50" s="322"/>
      <c r="AN50" s="323"/>
      <c r="AO50" s="323"/>
      <c r="AP50" s="324"/>
      <c r="AQ50" s="324"/>
      <c r="AR50" s="324"/>
      <c r="AS50" s="324"/>
      <c r="AT50" s="325"/>
      <c r="AU50" s="325"/>
      <c r="AV50" s="325"/>
      <c r="AW50" s="326"/>
      <c r="AX50" s="332"/>
      <c r="AY50" s="333"/>
    </row>
    <row r="51" spans="1:51" s="330" customFormat="1" ht="15" customHeight="1" x14ac:dyDescent="0.25">
      <c r="A51" s="306"/>
      <c r="B51" s="307"/>
      <c r="C51" s="307"/>
      <c r="D51" s="308"/>
      <c r="E51" s="308"/>
      <c r="F51" s="308"/>
      <c r="G51" s="307"/>
      <c r="H51" s="311"/>
      <c r="I51" s="312"/>
      <c r="J51" s="331" t="s">
        <v>579</v>
      </c>
      <c r="K51" s="314"/>
      <c r="L51" s="315"/>
      <c r="M51" s="316"/>
      <c r="N51" s="316"/>
      <c r="O51" s="316"/>
      <c r="P51" s="316"/>
      <c r="Q51" s="316"/>
      <c r="R51" s="316">
        <v>52</v>
      </c>
      <c r="S51" s="316" t="s">
        <v>580</v>
      </c>
      <c r="T51" s="317">
        <f>R51</f>
        <v>52</v>
      </c>
      <c r="U51" s="317" t="s">
        <v>580</v>
      </c>
      <c r="V51" s="318">
        <v>4000</v>
      </c>
      <c r="W51" s="484">
        <f t="shared" ref="W51:W63" si="10">V51*T51</f>
        <v>208000</v>
      </c>
      <c r="X51" s="320" t="s">
        <v>566</v>
      </c>
      <c r="Y51" s="323"/>
      <c r="Z51" s="322"/>
      <c r="AA51" s="323"/>
      <c r="AB51" s="323"/>
      <c r="AC51" s="324"/>
      <c r="AD51" s="324"/>
      <c r="AE51" s="324"/>
      <c r="AF51" s="324"/>
      <c r="AG51" s="325"/>
      <c r="AH51" s="325"/>
      <c r="AI51" s="325"/>
      <c r="AJ51" s="326"/>
      <c r="AK51" s="332">
        <f t="shared" ref="AK51:AK67" si="11">SUM(Y51:AJ51)</f>
        <v>0</v>
      </c>
      <c r="AL51" s="328"/>
      <c r="AM51" s="322"/>
      <c r="AN51" s="323"/>
      <c r="AO51" s="323"/>
      <c r="AP51" s="324"/>
      <c r="AQ51" s="324"/>
      <c r="AR51" s="324"/>
      <c r="AS51" s="324"/>
      <c r="AT51" s="325"/>
      <c r="AU51" s="325"/>
      <c r="AV51" s="325"/>
      <c r="AW51" s="326"/>
      <c r="AX51" s="332">
        <f t="shared" ref="AX51" si="12">SUM(AL51:AW51)</f>
        <v>0</v>
      </c>
      <c r="AY51" s="333">
        <f t="shared" ref="AY51" si="13">AK51-AX51</f>
        <v>0</v>
      </c>
    </row>
    <row r="52" spans="1:51" s="330" customFormat="1" ht="15" customHeight="1" x14ac:dyDescent="0.25">
      <c r="A52" s="306"/>
      <c r="B52" s="307"/>
      <c r="C52" s="307"/>
      <c r="D52" s="308"/>
      <c r="E52" s="308"/>
      <c r="F52" s="308"/>
      <c r="G52" s="307"/>
      <c r="H52" s="311"/>
      <c r="I52" s="312"/>
      <c r="J52" s="331" t="s">
        <v>581</v>
      </c>
      <c r="K52" s="314"/>
      <c r="L52" s="315"/>
      <c r="M52" s="316"/>
      <c r="N52" s="316"/>
      <c r="O52" s="316"/>
      <c r="P52" s="316"/>
      <c r="Q52" s="316"/>
      <c r="R52" s="316">
        <v>25</v>
      </c>
      <c r="S52" s="316" t="s">
        <v>580</v>
      </c>
      <c r="T52" s="317">
        <f t="shared" ref="T52:T54" si="14">R52</f>
        <v>25</v>
      </c>
      <c r="U52" s="317" t="s">
        <v>580</v>
      </c>
      <c r="V52" s="318">
        <v>5000</v>
      </c>
      <c r="W52" s="484">
        <f t="shared" si="10"/>
        <v>125000</v>
      </c>
      <c r="X52" s="320" t="s">
        <v>566</v>
      </c>
      <c r="Y52" s="321"/>
      <c r="Z52" s="322"/>
      <c r="AA52" s="323"/>
      <c r="AB52" s="323"/>
      <c r="AC52" s="324"/>
      <c r="AD52" s="324"/>
      <c r="AE52" s="324"/>
      <c r="AF52" s="324"/>
      <c r="AG52" s="325"/>
      <c r="AH52" s="325"/>
      <c r="AI52" s="325"/>
      <c r="AJ52" s="326"/>
      <c r="AK52" s="332">
        <f t="shared" si="11"/>
        <v>0</v>
      </c>
      <c r="AL52" s="328"/>
      <c r="AM52" s="322"/>
      <c r="AN52" s="323"/>
      <c r="AO52" s="323"/>
      <c r="AP52" s="324"/>
      <c r="AQ52" s="324"/>
      <c r="AR52" s="324"/>
      <c r="AS52" s="324"/>
      <c r="AT52" s="325"/>
      <c r="AU52" s="325"/>
      <c r="AV52" s="325"/>
      <c r="AW52" s="326"/>
      <c r="AX52" s="332">
        <f t="shared" ref="AX52" si="15">SUM(AL52:AW52)</f>
        <v>0</v>
      </c>
      <c r="AY52" s="333">
        <f t="shared" ref="AY52" si="16">AK52-AX52</f>
        <v>0</v>
      </c>
    </row>
    <row r="53" spans="1:51" s="330" customFormat="1" ht="15" customHeight="1" x14ac:dyDescent="0.25">
      <c r="A53" s="306"/>
      <c r="B53" s="307"/>
      <c r="C53" s="307"/>
      <c r="D53" s="308"/>
      <c r="E53" s="308"/>
      <c r="F53" s="308"/>
      <c r="G53" s="307"/>
      <c r="H53" s="311"/>
      <c r="I53" s="312"/>
      <c r="J53" s="331" t="s">
        <v>582</v>
      </c>
      <c r="K53" s="314"/>
      <c r="L53" s="315"/>
      <c r="M53" s="316"/>
      <c r="N53" s="316"/>
      <c r="O53" s="316"/>
      <c r="P53" s="316"/>
      <c r="Q53" s="316"/>
      <c r="R53" s="316">
        <v>48</v>
      </c>
      <c r="S53" s="316" t="s">
        <v>580</v>
      </c>
      <c r="T53" s="317">
        <f t="shared" si="14"/>
        <v>48</v>
      </c>
      <c r="U53" s="317" t="s">
        <v>580</v>
      </c>
      <c r="V53" s="318">
        <v>10000</v>
      </c>
      <c r="W53" s="484">
        <f t="shared" si="10"/>
        <v>480000</v>
      </c>
      <c r="X53" s="320" t="s">
        <v>566</v>
      </c>
      <c r="Y53" s="321"/>
      <c r="Z53" s="322"/>
      <c r="AA53" s="323"/>
      <c r="AB53" s="323"/>
      <c r="AC53" s="324"/>
      <c r="AD53" s="324"/>
      <c r="AE53" s="324"/>
      <c r="AF53" s="324"/>
      <c r="AG53" s="325"/>
      <c r="AH53" s="325">
        <v>240000</v>
      </c>
      <c r="AI53" s="325"/>
      <c r="AJ53" s="326"/>
      <c r="AK53" s="332">
        <f t="shared" si="11"/>
        <v>240000</v>
      </c>
      <c r="AL53" s="328"/>
      <c r="AM53" s="322"/>
      <c r="AN53" s="323"/>
      <c r="AO53" s="323"/>
      <c r="AP53" s="324"/>
      <c r="AQ53" s="324"/>
      <c r="AR53" s="324"/>
      <c r="AS53" s="324"/>
      <c r="AT53" s="325"/>
      <c r="AU53" s="325"/>
      <c r="AV53" s="325"/>
      <c r="AW53" s="326"/>
      <c r="AX53" s="332">
        <f t="shared" ref="AX53" si="17">SUM(AL53:AW53)</f>
        <v>0</v>
      </c>
      <c r="AY53" s="333">
        <f t="shared" ref="AY53" si="18">AK53-AX53</f>
        <v>240000</v>
      </c>
    </row>
    <row r="54" spans="1:51" s="330" customFormat="1" ht="15" customHeight="1" x14ac:dyDescent="0.25">
      <c r="A54" s="306"/>
      <c r="B54" s="307"/>
      <c r="C54" s="307"/>
      <c r="D54" s="308"/>
      <c r="E54" s="308"/>
      <c r="F54" s="308"/>
      <c r="G54" s="307"/>
      <c r="H54" s="311"/>
      <c r="I54" s="312"/>
      <c r="J54" s="331" t="s">
        <v>583</v>
      </c>
      <c r="K54" s="314"/>
      <c r="L54" s="315"/>
      <c r="M54" s="316"/>
      <c r="N54" s="316"/>
      <c r="O54" s="316"/>
      <c r="P54" s="316"/>
      <c r="Q54" s="316"/>
      <c r="R54" s="316">
        <v>15</v>
      </c>
      <c r="S54" s="316" t="s">
        <v>584</v>
      </c>
      <c r="T54" s="317">
        <f t="shared" si="14"/>
        <v>15</v>
      </c>
      <c r="U54" s="317" t="s">
        <v>584</v>
      </c>
      <c r="V54" s="318">
        <v>27000</v>
      </c>
      <c r="W54" s="484">
        <f t="shared" si="10"/>
        <v>405000</v>
      </c>
      <c r="X54" s="320" t="s">
        <v>566</v>
      </c>
      <c r="Y54" s="321"/>
      <c r="Z54" s="322"/>
      <c r="AA54" s="323"/>
      <c r="AB54" s="323"/>
      <c r="AC54" s="324"/>
      <c r="AD54" s="324"/>
      <c r="AE54" s="324"/>
      <c r="AF54" s="324"/>
      <c r="AG54" s="325"/>
      <c r="AH54" s="325"/>
      <c r="AI54" s="325"/>
      <c r="AJ54" s="326"/>
      <c r="AK54" s="332">
        <f t="shared" si="11"/>
        <v>0</v>
      </c>
      <c r="AL54" s="328"/>
      <c r="AM54" s="322"/>
      <c r="AN54" s="323"/>
      <c r="AO54" s="323"/>
      <c r="AP54" s="324"/>
      <c r="AQ54" s="324"/>
      <c r="AR54" s="324"/>
      <c r="AS54" s="324"/>
      <c r="AT54" s="325"/>
      <c r="AU54" s="325"/>
      <c r="AV54" s="325"/>
      <c r="AW54" s="326"/>
      <c r="AX54" s="332">
        <f t="shared" ref="AX54" si="19">SUM(AL54:AW54)</f>
        <v>0</v>
      </c>
      <c r="AY54" s="333">
        <f t="shared" ref="AY54" si="20">AK54-AX54</f>
        <v>0</v>
      </c>
    </row>
    <row r="55" spans="1:51" s="330" customFormat="1" ht="15" customHeight="1" x14ac:dyDescent="0.25">
      <c r="A55" s="306"/>
      <c r="B55" s="307"/>
      <c r="C55" s="307"/>
      <c r="D55" s="308"/>
      <c r="E55" s="308"/>
      <c r="F55" s="308"/>
      <c r="G55" s="307"/>
      <c r="H55" s="311"/>
      <c r="I55" s="312"/>
      <c r="J55" s="331" t="s">
        <v>585</v>
      </c>
      <c r="K55" s="314"/>
      <c r="L55" s="315"/>
      <c r="M55" s="316"/>
      <c r="N55" s="316"/>
      <c r="O55" s="316"/>
      <c r="P55" s="316"/>
      <c r="Q55" s="316"/>
      <c r="R55" s="316">
        <v>48</v>
      </c>
      <c r="S55" s="316" t="s">
        <v>580</v>
      </c>
      <c r="T55" s="317">
        <f t="shared" ref="T55:T63" si="21">R55</f>
        <v>48</v>
      </c>
      <c r="U55" s="317" t="s">
        <v>580</v>
      </c>
      <c r="V55" s="318">
        <v>3500</v>
      </c>
      <c r="W55" s="484">
        <f t="shared" si="10"/>
        <v>168000</v>
      </c>
      <c r="X55" s="320" t="s">
        <v>566</v>
      </c>
      <c r="Y55" s="321"/>
      <c r="Z55" s="322"/>
      <c r="AA55" s="323"/>
      <c r="AB55" s="323"/>
      <c r="AC55" s="324"/>
      <c r="AD55" s="324"/>
      <c r="AE55" s="324"/>
      <c r="AF55" s="324"/>
      <c r="AG55" s="325"/>
      <c r="AH55" s="325"/>
      <c r="AI55" s="325"/>
      <c r="AJ55" s="326"/>
      <c r="AK55" s="332">
        <f t="shared" si="11"/>
        <v>0</v>
      </c>
      <c r="AL55" s="328"/>
      <c r="AM55" s="322"/>
      <c r="AN55" s="323"/>
      <c r="AO55" s="323"/>
      <c r="AP55" s="324"/>
      <c r="AQ55" s="324"/>
      <c r="AR55" s="324"/>
      <c r="AS55" s="324"/>
      <c r="AT55" s="325"/>
      <c r="AU55" s="325"/>
      <c r="AV55" s="325"/>
      <c r="AW55" s="326"/>
      <c r="AX55" s="332">
        <f t="shared" ref="AX55" si="22">SUM(AL55:AW55)</f>
        <v>0</v>
      </c>
      <c r="AY55" s="333">
        <f t="shared" ref="AY55" si="23">AK55-AX55</f>
        <v>0</v>
      </c>
    </row>
    <row r="56" spans="1:51" s="330" customFormat="1" ht="15" customHeight="1" x14ac:dyDescent="0.25">
      <c r="A56" s="306"/>
      <c r="B56" s="307"/>
      <c r="C56" s="307"/>
      <c r="D56" s="308"/>
      <c r="E56" s="308"/>
      <c r="F56" s="308"/>
      <c r="G56" s="307"/>
      <c r="H56" s="311"/>
      <c r="I56" s="312"/>
      <c r="J56" s="331" t="s">
        <v>586</v>
      </c>
      <c r="K56" s="314"/>
      <c r="L56" s="315"/>
      <c r="M56" s="316"/>
      <c r="N56" s="316"/>
      <c r="O56" s="316"/>
      <c r="P56" s="316"/>
      <c r="Q56" s="316"/>
      <c r="R56" s="316">
        <v>24</v>
      </c>
      <c r="S56" s="316" t="s">
        <v>580</v>
      </c>
      <c r="T56" s="317">
        <f t="shared" si="21"/>
        <v>24</v>
      </c>
      <c r="U56" s="317" t="s">
        <v>580</v>
      </c>
      <c r="V56" s="318">
        <v>10000</v>
      </c>
      <c r="W56" s="484">
        <f t="shared" si="10"/>
        <v>240000</v>
      </c>
      <c r="X56" s="320" t="s">
        <v>566</v>
      </c>
      <c r="Y56" s="321"/>
      <c r="Z56" s="322"/>
      <c r="AA56" s="323"/>
      <c r="AB56" s="323"/>
      <c r="AC56" s="324"/>
      <c r="AD56" s="324"/>
      <c r="AE56" s="324"/>
      <c r="AF56" s="324"/>
      <c r="AG56" s="325"/>
      <c r="AH56" s="325"/>
      <c r="AI56" s="325"/>
      <c r="AJ56" s="326"/>
      <c r="AK56" s="332">
        <f t="shared" si="11"/>
        <v>0</v>
      </c>
      <c r="AL56" s="328"/>
      <c r="AM56" s="322"/>
      <c r="AN56" s="323"/>
      <c r="AO56" s="323"/>
      <c r="AP56" s="324"/>
      <c r="AQ56" s="324"/>
      <c r="AR56" s="324"/>
      <c r="AS56" s="324"/>
      <c r="AT56" s="325"/>
      <c r="AU56" s="325"/>
      <c r="AV56" s="325"/>
      <c r="AW56" s="326"/>
      <c r="AX56" s="332">
        <f t="shared" ref="AX56" si="24">SUM(AL56:AW56)</f>
        <v>0</v>
      </c>
      <c r="AY56" s="333">
        <f t="shared" ref="AY56" si="25">AK56-AX56</f>
        <v>0</v>
      </c>
    </row>
    <row r="57" spans="1:51" s="330" customFormat="1" ht="15" customHeight="1" x14ac:dyDescent="0.25">
      <c r="A57" s="306"/>
      <c r="B57" s="307"/>
      <c r="C57" s="307"/>
      <c r="D57" s="308"/>
      <c r="E57" s="308"/>
      <c r="F57" s="308"/>
      <c r="G57" s="307"/>
      <c r="H57" s="311"/>
      <c r="I57" s="312"/>
      <c r="J57" s="331" t="s">
        <v>587</v>
      </c>
      <c r="K57" s="314"/>
      <c r="L57" s="315"/>
      <c r="M57" s="316"/>
      <c r="N57" s="316"/>
      <c r="O57" s="316"/>
      <c r="P57" s="316"/>
      <c r="Q57" s="316"/>
      <c r="R57" s="316">
        <v>24</v>
      </c>
      <c r="S57" s="316" t="s">
        <v>580</v>
      </c>
      <c r="T57" s="317">
        <f t="shared" si="21"/>
        <v>24</v>
      </c>
      <c r="U57" s="317" t="s">
        <v>580</v>
      </c>
      <c r="V57" s="318">
        <v>20000</v>
      </c>
      <c r="W57" s="484">
        <f t="shared" si="10"/>
        <v>480000</v>
      </c>
      <c r="X57" s="320" t="s">
        <v>566</v>
      </c>
      <c r="Y57" s="323"/>
      <c r="Z57" s="322"/>
      <c r="AA57" s="323"/>
      <c r="AB57" s="323"/>
      <c r="AC57" s="324"/>
      <c r="AD57" s="324"/>
      <c r="AE57" s="324"/>
      <c r="AF57" s="324"/>
      <c r="AG57" s="325"/>
      <c r="AH57" s="325"/>
      <c r="AI57" s="325"/>
      <c r="AJ57" s="326"/>
      <c r="AK57" s="332">
        <f t="shared" si="11"/>
        <v>0</v>
      </c>
      <c r="AL57" s="328"/>
      <c r="AM57" s="322"/>
      <c r="AN57" s="323"/>
      <c r="AO57" s="323"/>
      <c r="AP57" s="324"/>
      <c r="AQ57" s="324"/>
      <c r="AR57" s="324"/>
      <c r="AS57" s="324"/>
      <c r="AT57" s="325"/>
      <c r="AU57" s="325"/>
      <c r="AV57" s="325"/>
      <c r="AW57" s="326"/>
      <c r="AX57" s="332">
        <f t="shared" ref="AX57" si="26">SUM(AL57:AW57)</f>
        <v>0</v>
      </c>
      <c r="AY57" s="333">
        <f t="shared" ref="AY57" si="27">AK57-AX57</f>
        <v>0</v>
      </c>
    </row>
    <row r="58" spans="1:51" s="330" customFormat="1" ht="15" customHeight="1" x14ac:dyDescent="0.25">
      <c r="A58" s="306"/>
      <c r="B58" s="307"/>
      <c r="C58" s="307"/>
      <c r="D58" s="308"/>
      <c r="E58" s="308"/>
      <c r="F58" s="308"/>
      <c r="G58" s="307"/>
      <c r="H58" s="311"/>
      <c r="I58" s="312"/>
      <c r="J58" s="331" t="s">
        <v>822</v>
      </c>
      <c r="K58" s="314"/>
      <c r="L58" s="315"/>
      <c r="M58" s="316"/>
      <c r="N58" s="316"/>
      <c r="O58" s="316"/>
      <c r="P58" s="316"/>
      <c r="Q58" s="316"/>
      <c r="R58" s="316">
        <v>374</v>
      </c>
      <c r="S58" s="316" t="s">
        <v>580</v>
      </c>
      <c r="T58" s="317">
        <f t="shared" si="21"/>
        <v>374</v>
      </c>
      <c r="U58" s="317" t="s">
        <v>580</v>
      </c>
      <c r="V58" s="318">
        <v>3000</v>
      </c>
      <c r="W58" s="484">
        <f t="shared" si="10"/>
        <v>1122000</v>
      </c>
      <c r="X58" s="320" t="s">
        <v>566</v>
      </c>
      <c r="Y58" s="321"/>
      <c r="Z58" s="322"/>
      <c r="AA58" s="323"/>
      <c r="AB58" s="323"/>
      <c r="AC58" s="324"/>
      <c r="AD58" s="324"/>
      <c r="AE58" s="324"/>
      <c r="AF58" s="324"/>
      <c r="AG58" s="325"/>
      <c r="AH58" s="325">
        <v>750000</v>
      </c>
      <c r="AI58" s="325"/>
      <c r="AJ58" s="326"/>
      <c r="AK58" s="332">
        <f t="shared" si="11"/>
        <v>750000</v>
      </c>
      <c r="AL58" s="328"/>
      <c r="AM58" s="322"/>
      <c r="AN58" s="323"/>
      <c r="AO58" s="323"/>
      <c r="AP58" s="324"/>
      <c r="AQ58" s="324"/>
      <c r="AR58" s="324"/>
      <c r="AS58" s="324"/>
      <c r="AT58" s="325"/>
      <c r="AU58" s="325"/>
      <c r="AV58" s="325"/>
      <c r="AW58" s="326"/>
      <c r="AX58" s="332"/>
      <c r="AY58" s="333"/>
    </row>
    <row r="59" spans="1:51" s="330" customFormat="1" ht="15" customHeight="1" x14ac:dyDescent="0.25">
      <c r="A59" s="306"/>
      <c r="B59" s="307"/>
      <c r="C59" s="307"/>
      <c r="D59" s="308"/>
      <c r="E59" s="308"/>
      <c r="F59" s="308"/>
      <c r="G59" s="307"/>
      <c r="H59" s="311"/>
      <c r="I59" s="312"/>
      <c r="J59" s="331" t="s">
        <v>823</v>
      </c>
      <c r="K59" s="314"/>
      <c r="L59" s="315"/>
      <c r="M59" s="316"/>
      <c r="N59" s="316"/>
      <c r="O59" s="316"/>
      <c r="P59" s="316"/>
      <c r="Q59" s="316"/>
      <c r="R59" s="316">
        <v>20</v>
      </c>
      <c r="S59" s="316" t="s">
        <v>580</v>
      </c>
      <c r="T59" s="317">
        <f t="shared" si="21"/>
        <v>20</v>
      </c>
      <c r="U59" s="317" t="s">
        <v>580</v>
      </c>
      <c r="V59" s="318">
        <v>2500</v>
      </c>
      <c r="W59" s="484">
        <f t="shared" si="10"/>
        <v>50000</v>
      </c>
      <c r="X59" s="320" t="s">
        <v>566</v>
      </c>
      <c r="Y59" s="321"/>
      <c r="Z59" s="322"/>
      <c r="AA59" s="323"/>
      <c r="AB59" s="323"/>
      <c r="AC59" s="324"/>
      <c r="AD59" s="324"/>
      <c r="AE59" s="324"/>
      <c r="AF59" s="324"/>
      <c r="AG59" s="325"/>
      <c r="AH59" s="325">
        <v>40000</v>
      </c>
      <c r="AI59" s="325"/>
      <c r="AJ59" s="326"/>
      <c r="AK59" s="332">
        <f t="shared" si="11"/>
        <v>40000</v>
      </c>
      <c r="AL59" s="328"/>
      <c r="AM59" s="322"/>
      <c r="AN59" s="323"/>
      <c r="AO59" s="323"/>
      <c r="AP59" s="324"/>
      <c r="AQ59" s="324"/>
      <c r="AR59" s="324"/>
      <c r="AS59" s="324"/>
      <c r="AT59" s="325"/>
      <c r="AU59" s="325"/>
      <c r="AV59" s="325"/>
      <c r="AW59" s="326"/>
      <c r="AX59" s="332"/>
      <c r="AY59" s="333"/>
    </row>
    <row r="60" spans="1:51" s="330" customFormat="1" ht="15" customHeight="1" x14ac:dyDescent="0.25">
      <c r="A60" s="306"/>
      <c r="B60" s="307"/>
      <c r="C60" s="307"/>
      <c r="D60" s="308"/>
      <c r="E60" s="308"/>
      <c r="F60" s="308"/>
      <c r="G60" s="307"/>
      <c r="H60" s="311"/>
      <c r="I60" s="312"/>
      <c r="J60" s="331" t="s">
        <v>824</v>
      </c>
      <c r="K60" s="314"/>
      <c r="L60" s="315"/>
      <c r="M60" s="316"/>
      <c r="N60" s="316"/>
      <c r="O60" s="316"/>
      <c r="P60" s="316"/>
      <c r="Q60" s="316"/>
      <c r="R60" s="316">
        <v>20</v>
      </c>
      <c r="S60" s="316" t="s">
        <v>580</v>
      </c>
      <c r="T60" s="317">
        <f t="shared" si="21"/>
        <v>20</v>
      </c>
      <c r="U60" s="317" t="s">
        <v>580</v>
      </c>
      <c r="V60" s="318">
        <v>5000</v>
      </c>
      <c r="W60" s="484">
        <f t="shared" si="10"/>
        <v>100000</v>
      </c>
      <c r="X60" s="320" t="s">
        <v>566</v>
      </c>
      <c r="Y60" s="321"/>
      <c r="Z60" s="322"/>
      <c r="AA60" s="323"/>
      <c r="AB60" s="323"/>
      <c r="AC60" s="324"/>
      <c r="AD60" s="324"/>
      <c r="AE60" s="324"/>
      <c r="AF60" s="324"/>
      <c r="AG60" s="325"/>
      <c r="AH60" s="325">
        <v>80000</v>
      </c>
      <c r="AI60" s="325"/>
      <c r="AJ60" s="326"/>
      <c r="AK60" s="332">
        <f t="shared" si="11"/>
        <v>80000</v>
      </c>
      <c r="AL60" s="328"/>
      <c r="AM60" s="322"/>
      <c r="AN60" s="323"/>
      <c r="AO60" s="323"/>
      <c r="AP60" s="324"/>
      <c r="AQ60" s="324"/>
      <c r="AR60" s="324"/>
      <c r="AS60" s="324"/>
      <c r="AT60" s="325"/>
      <c r="AU60" s="325"/>
      <c r="AV60" s="325"/>
      <c r="AW60" s="326"/>
      <c r="AX60" s="332"/>
      <c r="AY60" s="333"/>
    </row>
    <row r="61" spans="1:51" s="330" customFormat="1" ht="15" customHeight="1" x14ac:dyDescent="0.25">
      <c r="A61" s="306"/>
      <c r="B61" s="307"/>
      <c r="C61" s="307"/>
      <c r="D61" s="308"/>
      <c r="E61" s="308"/>
      <c r="F61" s="308"/>
      <c r="G61" s="307"/>
      <c r="H61" s="311"/>
      <c r="I61" s="312"/>
      <c r="J61" s="331" t="s">
        <v>825</v>
      </c>
      <c r="K61" s="314"/>
      <c r="L61" s="315"/>
      <c r="M61" s="316"/>
      <c r="N61" s="316"/>
      <c r="O61" s="316"/>
      <c r="P61" s="316"/>
      <c r="Q61" s="316"/>
      <c r="R61" s="316">
        <v>50</v>
      </c>
      <c r="S61" s="316" t="s">
        <v>580</v>
      </c>
      <c r="T61" s="317">
        <f t="shared" si="21"/>
        <v>50</v>
      </c>
      <c r="U61" s="317" t="s">
        <v>580</v>
      </c>
      <c r="V61" s="318">
        <v>5500</v>
      </c>
      <c r="W61" s="484">
        <f t="shared" si="10"/>
        <v>275000</v>
      </c>
      <c r="X61" s="320" t="s">
        <v>566</v>
      </c>
      <c r="Y61" s="321"/>
      <c r="Z61" s="322"/>
      <c r="AA61" s="323"/>
      <c r="AB61" s="323"/>
      <c r="AC61" s="324"/>
      <c r="AD61" s="324"/>
      <c r="AE61" s="324"/>
      <c r="AF61" s="324"/>
      <c r="AG61" s="325"/>
      <c r="AH61" s="325">
        <v>192500</v>
      </c>
      <c r="AI61" s="325"/>
      <c r="AJ61" s="326"/>
      <c r="AK61" s="332">
        <f t="shared" si="11"/>
        <v>192500</v>
      </c>
      <c r="AL61" s="328"/>
      <c r="AM61" s="322"/>
      <c r="AN61" s="323"/>
      <c r="AO61" s="323"/>
      <c r="AP61" s="324"/>
      <c r="AQ61" s="324"/>
      <c r="AR61" s="324"/>
      <c r="AS61" s="324"/>
      <c r="AT61" s="325"/>
      <c r="AU61" s="325"/>
      <c r="AV61" s="325"/>
      <c r="AW61" s="326"/>
      <c r="AX61" s="332"/>
      <c r="AY61" s="333"/>
    </row>
    <row r="62" spans="1:51" s="330" customFormat="1" ht="15" customHeight="1" x14ac:dyDescent="0.25">
      <c r="A62" s="306"/>
      <c r="B62" s="307"/>
      <c r="C62" s="307"/>
      <c r="D62" s="308"/>
      <c r="E62" s="308"/>
      <c r="F62" s="308"/>
      <c r="G62" s="307"/>
      <c r="H62" s="311"/>
      <c r="I62" s="312"/>
      <c r="J62" s="331" t="s">
        <v>885</v>
      </c>
      <c r="K62" s="314"/>
      <c r="L62" s="315"/>
      <c r="M62" s="316"/>
      <c r="N62" s="316"/>
      <c r="O62" s="316"/>
      <c r="P62" s="316"/>
      <c r="Q62" s="316"/>
      <c r="R62" s="316">
        <v>25</v>
      </c>
      <c r="S62" s="316" t="s">
        <v>580</v>
      </c>
      <c r="T62" s="317">
        <f t="shared" si="21"/>
        <v>25</v>
      </c>
      <c r="U62" s="317" t="s">
        <v>580</v>
      </c>
      <c r="V62" s="318">
        <v>12000</v>
      </c>
      <c r="W62" s="484">
        <f t="shared" si="10"/>
        <v>300000</v>
      </c>
      <c r="X62" s="320" t="s">
        <v>566</v>
      </c>
      <c r="Y62" s="321"/>
      <c r="Z62" s="322"/>
      <c r="AA62" s="323"/>
      <c r="AB62" s="323"/>
      <c r="AC62" s="324"/>
      <c r="AD62" s="324"/>
      <c r="AE62" s="324"/>
      <c r="AF62" s="324"/>
      <c r="AG62" s="325"/>
      <c r="AH62" s="325"/>
      <c r="AI62" s="325"/>
      <c r="AJ62" s="326"/>
      <c r="AK62" s="332"/>
      <c r="AL62" s="328"/>
      <c r="AM62" s="322"/>
      <c r="AN62" s="323"/>
      <c r="AO62" s="323"/>
      <c r="AP62" s="324"/>
      <c r="AQ62" s="324"/>
      <c r="AR62" s="324"/>
      <c r="AS62" s="324"/>
      <c r="AT62" s="325"/>
      <c r="AU62" s="325"/>
      <c r="AV62" s="325"/>
      <c r="AW62" s="326"/>
      <c r="AX62" s="332"/>
      <c r="AY62" s="333"/>
    </row>
    <row r="63" spans="1:51" s="330" customFormat="1" ht="15" customHeight="1" x14ac:dyDescent="0.25">
      <c r="A63" s="306"/>
      <c r="B63" s="307"/>
      <c r="C63" s="307"/>
      <c r="D63" s="308"/>
      <c r="E63" s="308"/>
      <c r="F63" s="308"/>
      <c r="G63" s="307"/>
      <c r="H63" s="311"/>
      <c r="I63" s="312"/>
      <c r="J63" s="331" t="s">
        <v>886</v>
      </c>
      <c r="K63" s="314"/>
      <c r="L63" s="315"/>
      <c r="M63" s="316"/>
      <c r="N63" s="316"/>
      <c r="O63" s="316"/>
      <c r="P63" s="316"/>
      <c r="Q63" s="316"/>
      <c r="R63" s="316">
        <v>25</v>
      </c>
      <c r="S63" s="316" t="s">
        <v>580</v>
      </c>
      <c r="T63" s="317">
        <f t="shared" si="21"/>
        <v>25</v>
      </c>
      <c r="U63" s="317" t="s">
        <v>580</v>
      </c>
      <c r="V63" s="318">
        <v>9000</v>
      </c>
      <c r="W63" s="484">
        <f t="shared" si="10"/>
        <v>225000</v>
      </c>
      <c r="X63" s="320" t="s">
        <v>566</v>
      </c>
      <c r="Y63" s="321"/>
      <c r="Z63" s="322"/>
      <c r="AA63" s="323"/>
      <c r="AB63" s="323"/>
      <c r="AC63" s="324"/>
      <c r="AD63" s="324"/>
      <c r="AE63" s="324"/>
      <c r="AF63" s="324"/>
      <c r="AG63" s="325"/>
      <c r="AH63" s="325"/>
      <c r="AI63" s="325"/>
      <c r="AJ63" s="326"/>
      <c r="AK63" s="332"/>
      <c r="AL63" s="328"/>
      <c r="AM63" s="322"/>
      <c r="AN63" s="323"/>
      <c r="AO63" s="323"/>
      <c r="AP63" s="324"/>
      <c r="AQ63" s="324"/>
      <c r="AR63" s="324"/>
      <c r="AS63" s="324"/>
      <c r="AT63" s="325"/>
      <c r="AU63" s="325"/>
      <c r="AV63" s="325"/>
      <c r="AW63" s="326"/>
      <c r="AX63" s="332"/>
      <c r="AY63" s="333"/>
    </row>
    <row r="64" spans="1:51" s="330" customFormat="1" ht="15" customHeight="1" x14ac:dyDescent="0.25">
      <c r="A64" s="306"/>
      <c r="B64" s="307"/>
      <c r="C64" s="307"/>
      <c r="D64" s="308"/>
      <c r="E64" s="308"/>
      <c r="F64" s="308"/>
      <c r="G64" s="307"/>
      <c r="H64" s="311"/>
      <c r="I64" s="312"/>
      <c r="J64" s="331"/>
      <c r="K64" s="314"/>
      <c r="L64" s="315"/>
      <c r="M64" s="316"/>
      <c r="N64" s="316"/>
      <c r="O64" s="316"/>
      <c r="P64" s="316"/>
      <c r="Q64" s="316"/>
      <c r="R64" s="316"/>
      <c r="S64" s="316"/>
      <c r="T64" s="317"/>
      <c r="U64" s="317"/>
      <c r="V64" s="318"/>
      <c r="W64" s="319"/>
      <c r="X64" s="320"/>
      <c r="Y64" s="321"/>
      <c r="Z64" s="322"/>
      <c r="AA64" s="323"/>
      <c r="AB64" s="323"/>
      <c r="AC64" s="324"/>
      <c r="AD64" s="324"/>
      <c r="AE64" s="324"/>
      <c r="AF64" s="324"/>
      <c r="AG64" s="325"/>
      <c r="AH64" s="325"/>
      <c r="AI64" s="325"/>
      <c r="AJ64" s="326"/>
      <c r="AK64" s="332"/>
      <c r="AL64" s="328"/>
      <c r="AM64" s="322"/>
      <c r="AN64" s="323"/>
      <c r="AO64" s="323"/>
      <c r="AP64" s="324"/>
      <c r="AQ64" s="324"/>
      <c r="AR64" s="324"/>
      <c r="AS64" s="324"/>
      <c r="AT64" s="325"/>
      <c r="AU64" s="325"/>
      <c r="AV64" s="325"/>
      <c r="AW64" s="326"/>
      <c r="AX64" s="332"/>
      <c r="AY64" s="333"/>
    </row>
    <row r="65" spans="1:51" s="330" customFormat="1" ht="15" customHeight="1" x14ac:dyDescent="0.25">
      <c r="A65" s="306"/>
      <c r="B65" s="307" t="s">
        <v>59</v>
      </c>
      <c r="C65" s="307" t="s">
        <v>50</v>
      </c>
      <c r="D65" s="309" t="s">
        <v>67</v>
      </c>
      <c r="E65" s="309" t="s">
        <v>65</v>
      </c>
      <c r="F65" s="308" t="s">
        <v>65</v>
      </c>
      <c r="G65" s="310" t="s">
        <v>816</v>
      </c>
      <c r="H65" s="311"/>
      <c r="I65" s="312"/>
      <c r="J65" s="331" t="s">
        <v>817</v>
      </c>
      <c r="K65" s="314"/>
      <c r="L65" s="315"/>
      <c r="M65" s="316"/>
      <c r="N65" s="316"/>
      <c r="O65" s="316"/>
      <c r="P65" s="316"/>
      <c r="Q65" s="316"/>
      <c r="R65" s="316"/>
      <c r="S65" s="316"/>
      <c r="T65" s="317"/>
      <c r="U65" s="317"/>
      <c r="V65" s="318"/>
      <c r="W65" s="319">
        <f>SUM(W66:W68)</f>
        <v>3925000</v>
      </c>
      <c r="X65" s="320"/>
      <c r="Y65" s="321"/>
      <c r="Z65" s="322"/>
      <c r="AA65" s="323"/>
      <c r="AB65" s="323"/>
      <c r="AC65" s="324"/>
      <c r="AD65" s="324"/>
      <c r="AE65" s="324"/>
      <c r="AF65" s="324"/>
      <c r="AG65" s="325"/>
      <c r="AH65" s="325"/>
      <c r="AI65" s="325"/>
      <c r="AJ65" s="326"/>
      <c r="AK65" s="332"/>
      <c r="AL65" s="328"/>
      <c r="AM65" s="322"/>
      <c r="AN65" s="323"/>
      <c r="AO65" s="323"/>
      <c r="AP65" s="324"/>
      <c r="AQ65" s="324"/>
      <c r="AR65" s="324"/>
      <c r="AS65" s="324"/>
      <c r="AT65" s="325"/>
      <c r="AU65" s="325"/>
      <c r="AV65" s="325"/>
      <c r="AW65" s="326"/>
      <c r="AX65" s="332"/>
      <c r="AY65" s="333"/>
    </row>
    <row r="66" spans="1:51" s="330" customFormat="1" ht="15" customHeight="1" x14ac:dyDescent="0.25">
      <c r="A66" s="306"/>
      <c r="B66" s="307"/>
      <c r="C66" s="307"/>
      <c r="D66" s="308"/>
      <c r="E66" s="308"/>
      <c r="F66" s="308"/>
      <c r="G66" s="307"/>
      <c r="H66" s="311"/>
      <c r="I66" s="312"/>
      <c r="J66" s="331" t="s">
        <v>576</v>
      </c>
      <c r="K66" s="314"/>
      <c r="L66" s="315"/>
      <c r="M66" s="316"/>
      <c r="N66" s="316"/>
      <c r="O66" s="316"/>
      <c r="P66" s="316"/>
      <c r="Q66" s="316"/>
      <c r="R66" s="316">
        <v>30</v>
      </c>
      <c r="S66" s="316" t="s">
        <v>577</v>
      </c>
      <c r="T66" s="317">
        <f>R66</f>
        <v>30</v>
      </c>
      <c r="U66" s="317" t="s">
        <v>577</v>
      </c>
      <c r="V66" s="318">
        <v>62000</v>
      </c>
      <c r="W66" s="484">
        <f t="shared" ref="W66:W68" si="28">V66*T66</f>
        <v>1860000</v>
      </c>
      <c r="X66" s="320" t="s">
        <v>566</v>
      </c>
      <c r="Y66" s="321"/>
      <c r="Z66" s="322"/>
      <c r="AA66" s="323"/>
      <c r="AB66" s="323"/>
      <c r="AC66" s="324"/>
      <c r="AD66" s="324"/>
      <c r="AE66" s="324"/>
      <c r="AF66" s="324"/>
      <c r="AG66" s="325">
        <f>AC66</f>
        <v>0</v>
      </c>
      <c r="AH66" s="325"/>
      <c r="AI66" s="325"/>
      <c r="AJ66" s="326"/>
      <c r="AK66" s="332">
        <f t="shared" si="11"/>
        <v>0</v>
      </c>
      <c r="AL66" s="328"/>
      <c r="AM66" s="322"/>
      <c r="AN66" s="323"/>
      <c r="AO66" s="323"/>
      <c r="AP66" s="324"/>
      <c r="AQ66" s="324"/>
      <c r="AR66" s="324"/>
      <c r="AS66" s="324"/>
      <c r="AT66" s="325"/>
      <c r="AU66" s="325"/>
      <c r="AV66" s="325"/>
      <c r="AW66" s="326"/>
      <c r="AX66" s="332"/>
      <c r="AY66" s="333"/>
    </row>
    <row r="67" spans="1:51" s="330" customFormat="1" ht="15" customHeight="1" x14ac:dyDescent="0.25">
      <c r="A67" s="306"/>
      <c r="B67" s="307"/>
      <c r="C67" s="307"/>
      <c r="D67" s="308"/>
      <c r="E67" s="308"/>
      <c r="F67" s="308"/>
      <c r="G67" s="307"/>
      <c r="H67" s="311"/>
      <c r="I67" s="312"/>
      <c r="J67" s="331" t="s">
        <v>578</v>
      </c>
      <c r="K67" s="314"/>
      <c r="L67" s="315"/>
      <c r="M67" s="316"/>
      <c r="N67" s="316"/>
      <c r="O67" s="316"/>
      <c r="P67" s="316"/>
      <c r="Q67" s="316"/>
      <c r="R67" s="316">
        <v>30</v>
      </c>
      <c r="S67" s="316" t="s">
        <v>577</v>
      </c>
      <c r="T67" s="317">
        <f>R67</f>
        <v>30</v>
      </c>
      <c r="U67" s="317" t="s">
        <v>577</v>
      </c>
      <c r="V67" s="318">
        <v>57000</v>
      </c>
      <c r="W67" s="484">
        <f t="shared" si="28"/>
        <v>1710000</v>
      </c>
      <c r="X67" s="320" t="s">
        <v>566</v>
      </c>
      <c r="Y67" s="321"/>
      <c r="Z67" s="322"/>
      <c r="AA67" s="323"/>
      <c r="AB67" s="323"/>
      <c r="AC67" s="324"/>
      <c r="AD67" s="324"/>
      <c r="AE67" s="324"/>
      <c r="AF67" s="324"/>
      <c r="AG67" s="325">
        <f>AC67</f>
        <v>0</v>
      </c>
      <c r="AH67" s="325"/>
      <c r="AI67" s="325"/>
      <c r="AJ67" s="326"/>
      <c r="AK67" s="332">
        <f t="shared" si="11"/>
        <v>0</v>
      </c>
      <c r="AL67" s="328"/>
      <c r="AM67" s="322"/>
      <c r="AN67" s="323"/>
      <c r="AO67" s="323"/>
      <c r="AP67" s="324"/>
      <c r="AQ67" s="324"/>
      <c r="AR67" s="324"/>
      <c r="AS67" s="324"/>
      <c r="AT67" s="325"/>
      <c r="AU67" s="325"/>
      <c r="AV67" s="325"/>
      <c r="AW67" s="326"/>
      <c r="AX67" s="332"/>
      <c r="AY67" s="333"/>
    </row>
    <row r="68" spans="1:51" s="330" customFormat="1" ht="15" customHeight="1" x14ac:dyDescent="0.25">
      <c r="A68" s="306"/>
      <c r="B68" s="307"/>
      <c r="C68" s="307"/>
      <c r="D68" s="308"/>
      <c r="E68" s="308"/>
      <c r="F68" s="308"/>
      <c r="G68" s="307"/>
      <c r="H68" s="311"/>
      <c r="I68" s="312"/>
      <c r="J68" s="331" t="s">
        <v>887</v>
      </c>
      <c r="K68" s="314"/>
      <c r="L68" s="315"/>
      <c r="M68" s="316"/>
      <c r="N68" s="316"/>
      <c r="O68" s="316"/>
      <c r="P68" s="316"/>
      <c r="Q68" s="316"/>
      <c r="R68" s="316">
        <v>5</v>
      </c>
      <c r="S68" s="316" t="s">
        <v>577</v>
      </c>
      <c r="T68" s="317">
        <f>R68</f>
        <v>5</v>
      </c>
      <c r="U68" s="317" t="s">
        <v>888</v>
      </c>
      <c r="V68" s="318">
        <v>71000</v>
      </c>
      <c r="W68" s="484">
        <f t="shared" si="28"/>
        <v>355000</v>
      </c>
      <c r="X68" s="320" t="s">
        <v>566</v>
      </c>
      <c r="Y68" s="321"/>
      <c r="Z68" s="322"/>
      <c r="AA68" s="323"/>
      <c r="AB68" s="323"/>
      <c r="AC68" s="324"/>
      <c r="AD68" s="324"/>
      <c r="AE68" s="324"/>
      <c r="AF68" s="324"/>
      <c r="AG68" s="325"/>
      <c r="AH68" s="325"/>
      <c r="AI68" s="325"/>
      <c r="AJ68" s="326"/>
      <c r="AK68" s="332"/>
      <c r="AL68" s="328"/>
      <c r="AM68" s="322"/>
      <c r="AN68" s="323"/>
      <c r="AO68" s="323"/>
      <c r="AP68" s="324"/>
      <c r="AQ68" s="324"/>
      <c r="AR68" s="324"/>
      <c r="AS68" s="324"/>
      <c r="AT68" s="325"/>
      <c r="AU68" s="325"/>
      <c r="AV68" s="325"/>
      <c r="AW68" s="326"/>
      <c r="AX68" s="332"/>
      <c r="AY68" s="333"/>
    </row>
    <row r="69" spans="1:51" s="330" customFormat="1" ht="15" customHeight="1" x14ac:dyDescent="0.25">
      <c r="A69" s="306"/>
      <c r="B69" s="307"/>
      <c r="C69" s="307"/>
      <c r="D69" s="308"/>
      <c r="E69" s="308"/>
      <c r="F69" s="308"/>
      <c r="G69" s="307"/>
      <c r="H69" s="311"/>
      <c r="I69" s="312"/>
      <c r="J69" s="331"/>
      <c r="K69" s="314"/>
      <c r="L69" s="315"/>
      <c r="M69" s="316"/>
      <c r="N69" s="316"/>
      <c r="O69" s="316"/>
      <c r="P69" s="316"/>
      <c r="Q69" s="316"/>
      <c r="R69" s="316"/>
      <c r="S69" s="316"/>
      <c r="T69" s="317"/>
      <c r="U69" s="317"/>
      <c r="V69" s="318"/>
      <c r="W69" s="319"/>
      <c r="X69" s="320"/>
      <c r="Y69" s="321"/>
      <c r="Z69" s="322"/>
      <c r="AA69" s="323"/>
      <c r="AB69" s="323"/>
      <c r="AC69" s="324"/>
      <c r="AD69" s="324"/>
      <c r="AE69" s="324"/>
      <c r="AF69" s="324"/>
      <c r="AG69" s="325"/>
      <c r="AH69" s="325"/>
      <c r="AI69" s="325"/>
      <c r="AJ69" s="326"/>
      <c r="AK69" s="332"/>
      <c r="AL69" s="328"/>
      <c r="AM69" s="322"/>
      <c r="AN69" s="323"/>
      <c r="AO69" s="323"/>
      <c r="AP69" s="324"/>
      <c r="AQ69" s="324"/>
      <c r="AR69" s="324"/>
      <c r="AS69" s="324"/>
      <c r="AT69" s="325"/>
      <c r="AU69" s="325"/>
      <c r="AV69" s="325"/>
      <c r="AW69" s="326"/>
      <c r="AX69" s="332"/>
      <c r="AY69" s="333"/>
    </row>
    <row r="70" spans="1:51" s="330" customFormat="1" ht="15" customHeight="1" x14ac:dyDescent="0.25">
      <c r="A70" s="306"/>
      <c r="B70" s="307" t="s">
        <v>59</v>
      </c>
      <c r="C70" s="307" t="s">
        <v>50</v>
      </c>
      <c r="D70" s="309" t="s">
        <v>67</v>
      </c>
      <c r="E70" s="309" t="s">
        <v>65</v>
      </c>
      <c r="F70" s="308" t="s">
        <v>65</v>
      </c>
      <c r="G70" s="310" t="s">
        <v>588</v>
      </c>
      <c r="H70" s="311"/>
      <c r="I70" s="312"/>
      <c r="J70" s="331" t="s">
        <v>589</v>
      </c>
      <c r="K70" s="314"/>
      <c r="L70" s="315"/>
      <c r="M70" s="316"/>
      <c r="N70" s="316"/>
      <c r="O70" s="316"/>
      <c r="P70" s="316"/>
      <c r="Q70" s="316"/>
      <c r="R70" s="316"/>
      <c r="S70" s="316"/>
      <c r="T70" s="317"/>
      <c r="U70" s="317"/>
      <c r="V70" s="318"/>
      <c r="W70" s="319">
        <f>W71</f>
        <v>600000</v>
      </c>
      <c r="X70" s="320"/>
      <c r="Y70" s="321"/>
      <c r="Z70" s="322"/>
      <c r="AA70" s="323"/>
      <c r="AB70" s="323"/>
      <c r="AC70" s="324"/>
      <c r="AD70" s="324"/>
      <c r="AE70" s="324"/>
      <c r="AF70" s="324"/>
      <c r="AG70" s="325"/>
      <c r="AH70" s="325"/>
      <c r="AI70" s="325"/>
      <c r="AJ70" s="326"/>
      <c r="AK70" s="332"/>
      <c r="AL70" s="328"/>
      <c r="AM70" s="322"/>
      <c r="AN70" s="323"/>
      <c r="AO70" s="323"/>
      <c r="AP70" s="324"/>
      <c r="AQ70" s="324"/>
      <c r="AR70" s="324"/>
      <c r="AS70" s="324"/>
      <c r="AT70" s="325"/>
      <c r="AU70" s="325"/>
      <c r="AV70" s="325"/>
      <c r="AW70" s="326"/>
      <c r="AX70" s="332"/>
      <c r="AY70" s="333"/>
    </row>
    <row r="71" spans="1:51" s="330" customFormat="1" ht="15" customHeight="1" x14ac:dyDescent="0.25">
      <c r="A71" s="306"/>
      <c r="B71" s="307"/>
      <c r="C71" s="307"/>
      <c r="D71" s="308"/>
      <c r="E71" s="308"/>
      <c r="F71" s="308"/>
      <c r="G71" s="307"/>
      <c r="H71" s="311"/>
      <c r="I71" s="312"/>
      <c r="J71" s="331" t="s">
        <v>590</v>
      </c>
      <c r="K71" s="314"/>
      <c r="L71" s="315"/>
      <c r="M71" s="316"/>
      <c r="N71" s="316"/>
      <c r="O71" s="316"/>
      <c r="P71" s="316"/>
      <c r="Q71" s="316"/>
      <c r="R71" s="316">
        <v>48</v>
      </c>
      <c r="S71" s="316" t="s">
        <v>580</v>
      </c>
      <c r="T71" s="317">
        <f t="shared" ref="T71" si="29">R71</f>
        <v>48</v>
      </c>
      <c r="U71" s="317" t="s">
        <v>580</v>
      </c>
      <c r="V71" s="318">
        <v>12500</v>
      </c>
      <c r="W71" s="484">
        <f>V71*T71</f>
        <v>600000</v>
      </c>
      <c r="X71" s="320" t="s">
        <v>566</v>
      </c>
      <c r="Y71" s="321"/>
      <c r="Z71" s="322"/>
      <c r="AA71" s="323"/>
      <c r="AB71" s="323"/>
      <c r="AC71" s="324"/>
      <c r="AD71" s="324"/>
      <c r="AE71" s="324"/>
      <c r="AF71" s="324"/>
      <c r="AG71" s="325"/>
      <c r="AH71" s="325"/>
      <c r="AI71" s="325"/>
      <c r="AJ71" s="326"/>
      <c r="AK71" s="332">
        <f t="shared" ref="AK71" si="30">SUM(Y71:AJ71)</f>
        <v>0</v>
      </c>
      <c r="AL71" s="328"/>
      <c r="AM71" s="322"/>
      <c r="AN71" s="323"/>
      <c r="AO71" s="323"/>
      <c r="AP71" s="324"/>
      <c r="AQ71" s="324"/>
      <c r="AR71" s="324"/>
      <c r="AS71" s="324"/>
      <c r="AT71" s="325"/>
      <c r="AU71" s="325"/>
      <c r="AV71" s="325"/>
      <c r="AW71" s="326"/>
      <c r="AX71" s="332">
        <f t="shared" ref="AX71" si="31">SUM(AL71:AW71)</f>
        <v>0</v>
      </c>
      <c r="AY71" s="333">
        <f t="shared" ref="AY71" si="32">AK71-AX71</f>
        <v>0</v>
      </c>
    </row>
    <row r="72" spans="1:51" s="330" customFormat="1" ht="15" customHeight="1" x14ac:dyDescent="0.25">
      <c r="A72" s="306"/>
      <c r="B72" s="307"/>
      <c r="C72" s="307"/>
      <c r="D72" s="308"/>
      <c r="E72" s="308"/>
      <c r="F72" s="308"/>
      <c r="G72" s="307"/>
      <c r="H72" s="311"/>
      <c r="I72" s="312"/>
      <c r="J72" s="331"/>
      <c r="K72" s="314"/>
      <c r="L72" s="315"/>
      <c r="M72" s="316"/>
      <c r="N72" s="316"/>
      <c r="O72" s="316"/>
      <c r="P72" s="316"/>
      <c r="Q72" s="316"/>
      <c r="R72" s="316"/>
      <c r="S72" s="316"/>
      <c r="T72" s="317"/>
      <c r="U72" s="317"/>
      <c r="V72" s="318"/>
      <c r="W72" s="319"/>
      <c r="X72" s="320"/>
      <c r="Y72" s="321"/>
      <c r="Z72" s="322"/>
      <c r="AA72" s="323"/>
      <c r="AB72" s="323"/>
      <c r="AC72" s="324"/>
      <c r="AD72" s="324"/>
      <c r="AE72" s="324"/>
      <c r="AF72" s="324"/>
      <c r="AG72" s="325"/>
      <c r="AH72" s="325"/>
      <c r="AI72" s="325"/>
      <c r="AJ72" s="326"/>
      <c r="AK72" s="332"/>
      <c r="AL72" s="328"/>
      <c r="AM72" s="322"/>
      <c r="AN72" s="323"/>
      <c r="AO72" s="323"/>
      <c r="AP72" s="324"/>
      <c r="AQ72" s="324"/>
      <c r="AR72" s="324"/>
      <c r="AS72" s="324"/>
      <c r="AT72" s="325"/>
      <c r="AU72" s="325"/>
      <c r="AV72" s="325"/>
      <c r="AW72" s="326"/>
      <c r="AX72" s="332"/>
      <c r="AY72" s="333"/>
    </row>
    <row r="73" spans="1:51" s="330" customFormat="1" ht="15" customHeight="1" x14ac:dyDescent="0.25">
      <c r="A73" s="306"/>
      <c r="B73" s="307" t="s">
        <v>59</v>
      </c>
      <c r="C73" s="307" t="s">
        <v>50</v>
      </c>
      <c r="D73" s="309" t="s">
        <v>67</v>
      </c>
      <c r="E73" s="309" t="s">
        <v>65</v>
      </c>
      <c r="F73" s="308" t="s">
        <v>65</v>
      </c>
      <c r="G73" s="310" t="s">
        <v>156</v>
      </c>
      <c r="H73" s="311"/>
      <c r="I73" s="312"/>
      <c r="J73" s="331" t="s">
        <v>591</v>
      </c>
      <c r="K73" s="314"/>
      <c r="L73" s="315"/>
      <c r="M73" s="316"/>
      <c r="N73" s="316"/>
      <c r="O73" s="316"/>
      <c r="P73" s="316"/>
      <c r="Q73" s="316"/>
      <c r="R73" s="316"/>
      <c r="S73" s="316"/>
      <c r="T73" s="317"/>
      <c r="U73" s="317"/>
      <c r="V73" s="318"/>
      <c r="W73" s="319">
        <f>SUM(W74:W79)</f>
        <v>7317505</v>
      </c>
      <c r="X73" s="320"/>
      <c r="Y73" s="321"/>
      <c r="Z73" s="322"/>
      <c r="AA73" s="323"/>
      <c r="AB73" s="323"/>
      <c r="AC73" s="324"/>
      <c r="AD73" s="324"/>
      <c r="AE73" s="324"/>
      <c r="AF73" s="324"/>
      <c r="AG73" s="325"/>
      <c r="AH73" s="325"/>
      <c r="AI73" s="325"/>
      <c r="AJ73" s="326"/>
      <c r="AK73" s="332"/>
      <c r="AL73" s="328"/>
      <c r="AM73" s="322"/>
      <c r="AN73" s="323"/>
      <c r="AO73" s="323"/>
      <c r="AP73" s="324"/>
      <c r="AQ73" s="324"/>
      <c r="AR73" s="324"/>
      <c r="AS73" s="324"/>
      <c r="AT73" s="325"/>
      <c r="AU73" s="325"/>
      <c r="AV73" s="325"/>
      <c r="AW73" s="326"/>
      <c r="AX73" s="332"/>
      <c r="AY73" s="333"/>
    </row>
    <row r="74" spans="1:51" s="330" customFormat="1" ht="15" customHeight="1" x14ac:dyDescent="0.25">
      <c r="A74" s="306"/>
      <c r="B74" s="307"/>
      <c r="C74" s="307"/>
      <c r="D74" s="308"/>
      <c r="E74" s="308"/>
      <c r="F74" s="308"/>
      <c r="G74" s="307"/>
      <c r="H74" s="311"/>
      <c r="I74" s="312"/>
      <c r="J74" s="331" t="s">
        <v>592</v>
      </c>
      <c r="K74" s="314"/>
      <c r="L74" s="315"/>
      <c r="M74" s="316"/>
      <c r="N74" s="316"/>
      <c r="O74" s="316"/>
      <c r="P74" s="316"/>
      <c r="Q74" s="316"/>
      <c r="R74" s="316">
        <v>8</v>
      </c>
      <c r="S74" s="316" t="s">
        <v>580</v>
      </c>
      <c r="T74" s="317">
        <f t="shared" ref="T74" si="33">R74</f>
        <v>8</v>
      </c>
      <c r="U74" s="317" t="s">
        <v>580</v>
      </c>
      <c r="V74" s="318">
        <v>166500</v>
      </c>
      <c r="W74" s="484">
        <f t="shared" ref="W74:W79" si="34">V74*T74</f>
        <v>1332000</v>
      </c>
      <c r="X74" s="320" t="s">
        <v>566</v>
      </c>
      <c r="Y74" s="321">
        <v>666000</v>
      </c>
      <c r="Z74" s="322"/>
      <c r="AA74" s="323"/>
      <c r="AB74" s="323"/>
      <c r="AC74" s="324"/>
      <c r="AD74" s="324"/>
      <c r="AE74" s="324">
        <v>666000</v>
      </c>
      <c r="AF74" s="324"/>
      <c r="AG74" s="325"/>
      <c r="AH74" s="325"/>
      <c r="AI74" s="325"/>
      <c r="AJ74" s="326"/>
      <c r="AK74" s="332">
        <f t="shared" ref="AK74:AK82" si="35">SUM(Y74:AJ74)</f>
        <v>1332000</v>
      </c>
      <c r="AL74" s="328"/>
      <c r="AM74" s="322"/>
      <c r="AN74" s="323"/>
      <c r="AO74" s="323"/>
      <c r="AP74" s="324"/>
      <c r="AQ74" s="324"/>
      <c r="AR74" s="324"/>
      <c r="AS74" s="324"/>
      <c r="AT74" s="325"/>
      <c r="AU74" s="325"/>
      <c r="AV74" s="325"/>
      <c r="AW74" s="326"/>
      <c r="AX74" s="332">
        <f t="shared" ref="AX74" si="36">SUM(AL74:AW74)</f>
        <v>0</v>
      </c>
      <c r="AY74" s="333">
        <f t="shared" ref="AY74" si="37">AK74-AX74</f>
        <v>1332000</v>
      </c>
    </row>
    <row r="75" spans="1:51" s="330" customFormat="1" ht="15" customHeight="1" x14ac:dyDescent="0.25">
      <c r="A75" s="306"/>
      <c r="B75" s="307"/>
      <c r="C75" s="307"/>
      <c r="D75" s="308"/>
      <c r="E75" s="308"/>
      <c r="F75" s="308"/>
      <c r="G75" s="307"/>
      <c r="H75" s="311"/>
      <c r="I75" s="312"/>
      <c r="J75" s="331" t="s">
        <v>593</v>
      </c>
      <c r="K75" s="314"/>
      <c r="L75" s="315"/>
      <c r="M75" s="316"/>
      <c r="N75" s="316"/>
      <c r="O75" s="316"/>
      <c r="P75" s="316"/>
      <c r="Q75" s="316"/>
      <c r="R75" s="316">
        <v>3</v>
      </c>
      <c r="S75" s="316" t="s">
        <v>580</v>
      </c>
      <c r="T75" s="317">
        <f t="shared" ref="T75" si="38">R75</f>
        <v>3</v>
      </c>
      <c r="U75" s="317" t="s">
        <v>580</v>
      </c>
      <c r="V75" s="318">
        <v>277500</v>
      </c>
      <c r="W75" s="484">
        <f t="shared" si="34"/>
        <v>832500</v>
      </c>
      <c r="X75" s="320" t="s">
        <v>566</v>
      </c>
      <c r="Y75" s="321"/>
      <c r="Z75" s="322">
        <v>832500</v>
      </c>
      <c r="AA75" s="323"/>
      <c r="AB75" s="323"/>
      <c r="AC75" s="324"/>
      <c r="AD75" s="324"/>
      <c r="AE75" s="324"/>
      <c r="AF75" s="324"/>
      <c r="AG75" s="325"/>
      <c r="AH75" s="325"/>
      <c r="AI75" s="325"/>
      <c r="AJ75" s="326"/>
      <c r="AK75" s="332">
        <f t="shared" si="35"/>
        <v>832500</v>
      </c>
      <c r="AL75" s="328"/>
      <c r="AM75" s="322"/>
      <c r="AN75" s="323"/>
      <c r="AO75" s="323"/>
      <c r="AP75" s="324"/>
      <c r="AQ75" s="324"/>
      <c r="AR75" s="324"/>
      <c r="AS75" s="324"/>
      <c r="AT75" s="325"/>
      <c r="AU75" s="325"/>
      <c r="AV75" s="325"/>
      <c r="AW75" s="326"/>
      <c r="AX75" s="332">
        <f t="shared" ref="AX75" si="39">SUM(AL75:AW75)</f>
        <v>0</v>
      </c>
      <c r="AY75" s="333">
        <f t="shared" ref="AY75" si="40">AK75-AX75</f>
        <v>832500</v>
      </c>
    </row>
    <row r="76" spans="1:51" s="330" customFormat="1" ht="15" customHeight="1" x14ac:dyDescent="0.25">
      <c r="A76" s="306"/>
      <c r="B76" s="307"/>
      <c r="C76" s="307"/>
      <c r="D76" s="308"/>
      <c r="E76" s="308"/>
      <c r="F76" s="308"/>
      <c r="G76" s="307"/>
      <c r="H76" s="311"/>
      <c r="I76" s="312"/>
      <c r="J76" s="331" t="s">
        <v>594</v>
      </c>
      <c r="K76" s="314"/>
      <c r="L76" s="315"/>
      <c r="M76" s="316"/>
      <c r="N76" s="316"/>
      <c r="O76" s="316"/>
      <c r="P76" s="316"/>
      <c r="Q76" s="316"/>
      <c r="R76" s="316">
        <v>4</v>
      </c>
      <c r="S76" s="316" t="s">
        <v>580</v>
      </c>
      <c r="T76" s="317">
        <f t="shared" ref="T76" si="41">R76</f>
        <v>4</v>
      </c>
      <c r="U76" s="317" t="s">
        <v>580</v>
      </c>
      <c r="V76" s="318">
        <v>430000</v>
      </c>
      <c r="W76" s="484">
        <f t="shared" si="34"/>
        <v>1720000</v>
      </c>
      <c r="X76" s="320" t="s">
        <v>566</v>
      </c>
      <c r="Y76" s="321">
        <v>860000</v>
      </c>
      <c r="Z76" s="322"/>
      <c r="AA76" s="323"/>
      <c r="AB76" s="323"/>
      <c r="AC76" s="324"/>
      <c r="AD76" s="324">
        <v>860000</v>
      </c>
      <c r="AE76" s="324"/>
      <c r="AF76" s="324"/>
      <c r="AG76" s="325"/>
      <c r="AH76" s="325"/>
      <c r="AI76" s="325"/>
      <c r="AJ76" s="326"/>
      <c r="AK76" s="332">
        <f t="shared" si="35"/>
        <v>1720000</v>
      </c>
      <c r="AL76" s="328"/>
      <c r="AM76" s="322"/>
      <c r="AN76" s="323"/>
      <c r="AO76" s="323"/>
      <c r="AP76" s="324"/>
      <c r="AQ76" s="324"/>
      <c r="AR76" s="324"/>
      <c r="AS76" s="324"/>
      <c r="AT76" s="325"/>
      <c r="AU76" s="325"/>
      <c r="AV76" s="325"/>
      <c r="AW76" s="326"/>
      <c r="AX76" s="332">
        <f t="shared" ref="AX76" si="42">SUM(AL76:AW76)</f>
        <v>0</v>
      </c>
      <c r="AY76" s="333">
        <f t="shared" ref="AY76" si="43">AK76-AX76</f>
        <v>1720000</v>
      </c>
    </row>
    <row r="77" spans="1:51" s="330" customFormat="1" ht="15" customHeight="1" x14ac:dyDescent="0.25">
      <c r="A77" s="306"/>
      <c r="B77" s="307"/>
      <c r="C77" s="307"/>
      <c r="D77" s="308"/>
      <c r="E77" s="308"/>
      <c r="F77" s="308"/>
      <c r="G77" s="307"/>
      <c r="H77" s="311"/>
      <c r="I77" s="312"/>
      <c r="J77" s="331" t="s">
        <v>595</v>
      </c>
      <c r="K77" s="314"/>
      <c r="L77" s="315"/>
      <c r="M77" s="316"/>
      <c r="N77" s="316"/>
      <c r="O77" s="316"/>
      <c r="P77" s="316"/>
      <c r="Q77" s="316"/>
      <c r="R77" s="316">
        <v>16</v>
      </c>
      <c r="S77" s="316" t="s">
        <v>580</v>
      </c>
      <c r="T77" s="317">
        <f t="shared" ref="T77:T79" si="44">R77</f>
        <v>16</v>
      </c>
      <c r="U77" s="317" t="s">
        <v>580</v>
      </c>
      <c r="V77" s="318">
        <v>145000</v>
      </c>
      <c r="W77" s="484">
        <f t="shared" si="34"/>
        <v>2320000</v>
      </c>
      <c r="X77" s="320" t="s">
        <v>566</v>
      </c>
      <c r="Y77" s="321">
        <v>580000</v>
      </c>
      <c r="Z77" s="322"/>
      <c r="AA77" s="323"/>
      <c r="AB77" s="323">
        <v>580000</v>
      </c>
      <c r="AC77" s="324"/>
      <c r="AD77" s="324"/>
      <c r="AE77" s="324">
        <v>580000</v>
      </c>
      <c r="AF77" s="324"/>
      <c r="AG77" s="325">
        <v>580000</v>
      </c>
      <c r="AH77" s="325"/>
      <c r="AI77" s="325"/>
      <c r="AJ77" s="326"/>
      <c r="AK77" s="332">
        <f t="shared" si="35"/>
        <v>2320000</v>
      </c>
      <c r="AL77" s="328"/>
      <c r="AM77" s="322"/>
      <c r="AN77" s="323"/>
      <c r="AO77" s="323"/>
      <c r="AP77" s="324"/>
      <c r="AQ77" s="324"/>
      <c r="AR77" s="324"/>
      <c r="AS77" s="324"/>
      <c r="AT77" s="325"/>
      <c r="AU77" s="325"/>
      <c r="AV77" s="325"/>
      <c r="AW77" s="326"/>
      <c r="AX77" s="332">
        <f t="shared" ref="AX77" si="45">SUM(AL77:AW77)</f>
        <v>0</v>
      </c>
      <c r="AY77" s="333">
        <f t="shared" ref="AY77" si="46">AK77-AX77</f>
        <v>2320000</v>
      </c>
    </row>
    <row r="78" spans="1:51" s="330" customFormat="1" ht="15" customHeight="1" x14ac:dyDescent="0.25">
      <c r="A78" s="306"/>
      <c r="B78" s="307"/>
      <c r="C78" s="307"/>
      <c r="D78" s="308"/>
      <c r="E78" s="308"/>
      <c r="F78" s="308"/>
      <c r="G78" s="307"/>
      <c r="H78" s="311"/>
      <c r="I78" s="312"/>
      <c r="J78" s="331" t="s">
        <v>829</v>
      </c>
      <c r="K78" s="314"/>
      <c r="L78" s="315"/>
      <c r="M78" s="316"/>
      <c r="N78" s="316"/>
      <c r="O78" s="316"/>
      <c r="P78" s="316"/>
      <c r="Q78" s="316"/>
      <c r="R78" s="316">
        <v>4</v>
      </c>
      <c r="S78" s="316" t="s">
        <v>580</v>
      </c>
      <c r="T78" s="317">
        <f t="shared" si="44"/>
        <v>4</v>
      </c>
      <c r="U78" s="317" t="s">
        <v>580</v>
      </c>
      <c r="V78" s="318">
        <v>167000</v>
      </c>
      <c r="W78" s="484">
        <f t="shared" si="34"/>
        <v>668000</v>
      </c>
      <c r="X78" s="320" t="s">
        <v>566</v>
      </c>
      <c r="Y78" s="321"/>
      <c r="Z78" s="322"/>
      <c r="AA78" s="323"/>
      <c r="AB78" s="323"/>
      <c r="AC78" s="324"/>
      <c r="AD78" s="324"/>
      <c r="AE78" s="324"/>
      <c r="AF78" s="324"/>
      <c r="AG78" s="325"/>
      <c r="AH78" s="325"/>
      <c r="AI78" s="325"/>
      <c r="AJ78" s="326"/>
      <c r="AK78" s="332">
        <f t="shared" si="35"/>
        <v>0</v>
      </c>
      <c r="AL78" s="328"/>
      <c r="AM78" s="322"/>
      <c r="AN78" s="323"/>
      <c r="AO78" s="323"/>
      <c r="AP78" s="324"/>
      <c r="AQ78" s="324"/>
      <c r="AR78" s="324"/>
      <c r="AS78" s="324"/>
      <c r="AT78" s="325"/>
      <c r="AU78" s="325"/>
      <c r="AV78" s="325"/>
      <c r="AW78" s="326"/>
      <c r="AX78" s="332"/>
      <c r="AY78" s="333"/>
    </row>
    <row r="79" spans="1:51" s="330" customFormat="1" ht="15" customHeight="1" x14ac:dyDescent="0.25">
      <c r="A79" s="306"/>
      <c r="B79" s="307"/>
      <c r="C79" s="307"/>
      <c r="D79" s="308"/>
      <c r="E79" s="308"/>
      <c r="F79" s="308"/>
      <c r="G79" s="307"/>
      <c r="H79" s="311"/>
      <c r="I79" s="312"/>
      <c r="J79" s="331" t="s">
        <v>830</v>
      </c>
      <c r="K79" s="314"/>
      <c r="L79" s="315"/>
      <c r="M79" s="316"/>
      <c r="N79" s="316"/>
      <c r="O79" s="316"/>
      <c r="P79" s="316"/>
      <c r="Q79" s="316"/>
      <c r="R79" s="316">
        <v>1</v>
      </c>
      <c r="S79" s="316" t="s">
        <v>580</v>
      </c>
      <c r="T79" s="317">
        <f t="shared" si="44"/>
        <v>1</v>
      </c>
      <c r="U79" s="317" t="s">
        <v>580</v>
      </c>
      <c r="V79" s="318">
        <v>445005</v>
      </c>
      <c r="W79" s="484">
        <f t="shared" si="34"/>
        <v>445005</v>
      </c>
      <c r="X79" s="320" t="s">
        <v>566</v>
      </c>
      <c r="Y79" s="321"/>
      <c r="Z79" s="322">
        <v>300000</v>
      </c>
      <c r="AA79" s="323"/>
      <c r="AB79" s="323"/>
      <c r="AC79" s="324"/>
      <c r="AD79" s="324"/>
      <c r="AE79" s="324"/>
      <c r="AF79" s="324"/>
      <c r="AG79" s="325"/>
      <c r="AH79" s="325"/>
      <c r="AI79" s="325"/>
      <c r="AJ79" s="326"/>
      <c r="AK79" s="332">
        <f t="shared" si="35"/>
        <v>300000</v>
      </c>
      <c r="AL79" s="328"/>
      <c r="AM79" s="322"/>
      <c r="AN79" s="323"/>
      <c r="AO79" s="323"/>
      <c r="AP79" s="324"/>
      <c r="AQ79" s="324"/>
      <c r="AR79" s="324"/>
      <c r="AS79" s="324"/>
      <c r="AT79" s="325"/>
      <c r="AU79" s="325"/>
      <c r="AV79" s="325"/>
      <c r="AW79" s="326"/>
      <c r="AX79" s="332"/>
      <c r="AY79" s="333"/>
    </row>
    <row r="80" spans="1:51" s="330" customFormat="1" ht="15" customHeight="1" x14ac:dyDescent="0.25">
      <c r="A80" s="306"/>
      <c r="B80" s="307"/>
      <c r="C80" s="307"/>
      <c r="D80" s="308"/>
      <c r="E80" s="308"/>
      <c r="F80" s="308"/>
      <c r="G80" s="307"/>
      <c r="H80" s="311"/>
      <c r="I80" s="312"/>
      <c r="J80" s="331"/>
      <c r="K80" s="314"/>
      <c r="L80" s="315"/>
      <c r="M80" s="316"/>
      <c r="N80" s="316"/>
      <c r="O80" s="316"/>
      <c r="P80" s="316"/>
      <c r="Q80" s="316"/>
      <c r="R80" s="316"/>
      <c r="S80" s="316"/>
      <c r="T80" s="317"/>
      <c r="U80" s="317"/>
      <c r="V80" s="318"/>
      <c r="W80" s="484"/>
      <c r="X80" s="320"/>
      <c r="Y80" s="321"/>
      <c r="Z80" s="322"/>
      <c r="AA80" s="323"/>
      <c r="AB80" s="323"/>
      <c r="AC80" s="324"/>
      <c r="AD80" s="324"/>
      <c r="AE80" s="324"/>
      <c r="AF80" s="324"/>
      <c r="AG80" s="325">
        <f>W80</f>
        <v>0</v>
      </c>
      <c r="AH80" s="325"/>
      <c r="AI80" s="325"/>
      <c r="AJ80" s="326"/>
      <c r="AK80" s="332">
        <f t="shared" si="35"/>
        <v>0</v>
      </c>
      <c r="AL80" s="328"/>
      <c r="AM80" s="322"/>
      <c r="AN80" s="323"/>
      <c r="AO80" s="323"/>
      <c r="AP80" s="324"/>
      <c r="AQ80" s="324"/>
      <c r="AR80" s="324"/>
      <c r="AS80" s="324"/>
      <c r="AT80" s="325"/>
      <c r="AU80" s="325"/>
      <c r="AV80" s="325"/>
      <c r="AW80" s="326"/>
      <c r="AX80" s="332"/>
      <c r="AY80" s="333"/>
    </row>
    <row r="81" spans="1:51" s="330" customFormat="1" ht="15" customHeight="1" x14ac:dyDescent="0.25">
      <c r="A81" s="306"/>
      <c r="B81" s="307"/>
      <c r="C81" s="307"/>
      <c r="D81" s="308"/>
      <c r="E81" s="308"/>
      <c r="F81" s="308"/>
      <c r="G81" s="307"/>
      <c r="H81" s="311"/>
      <c r="I81" s="312"/>
      <c r="J81" s="331"/>
      <c r="K81" s="314"/>
      <c r="L81" s="315"/>
      <c r="M81" s="316"/>
      <c r="N81" s="316"/>
      <c r="O81" s="316"/>
      <c r="P81" s="316"/>
      <c r="Q81" s="316"/>
      <c r="R81" s="316"/>
      <c r="S81" s="316"/>
      <c r="T81" s="317"/>
      <c r="U81" s="317"/>
      <c r="V81" s="318"/>
      <c r="W81" s="484"/>
      <c r="X81" s="320"/>
      <c r="Y81" s="321"/>
      <c r="Z81" s="322"/>
      <c r="AA81" s="323"/>
      <c r="AB81" s="323"/>
      <c r="AC81" s="324"/>
      <c r="AD81" s="324"/>
      <c r="AE81" s="324"/>
      <c r="AF81" s="324"/>
      <c r="AG81" s="325"/>
      <c r="AH81" s="325"/>
      <c r="AI81" s="325">
        <f>W81</f>
        <v>0</v>
      </c>
      <c r="AJ81" s="326"/>
      <c r="AK81" s="332">
        <f t="shared" si="35"/>
        <v>0</v>
      </c>
      <c r="AL81" s="328"/>
      <c r="AM81" s="322"/>
      <c r="AN81" s="323"/>
      <c r="AO81" s="323"/>
      <c r="AP81" s="324"/>
      <c r="AQ81" s="324"/>
      <c r="AR81" s="324"/>
      <c r="AS81" s="324"/>
      <c r="AT81" s="325"/>
      <c r="AU81" s="325"/>
      <c r="AV81" s="325"/>
      <c r="AW81" s="326"/>
      <c r="AX81" s="332"/>
      <c r="AY81" s="333"/>
    </row>
    <row r="82" spans="1:51" s="330" customFormat="1" ht="15" customHeight="1" x14ac:dyDescent="0.25">
      <c r="A82" s="306"/>
      <c r="B82" s="307"/>
      <c r="C82" s="307"/>
      <c r="D82" s="308"/>
      <c r="E82" s="308"/>
      <c r="F82" s="308"/>
      <c r="G82" s="307"/>
      <c r="H82" s="311"/>
      <c r="I82" s="312"/>
      <c r="J82" s="331"/>
      <c r="K82" s="314"/>
      <c r="L82" s="315"/>
      <c r="M82" s="316"/>
      <c r="N82" s="316"/>
      <c r="O82" s="316"/>
      <c r="P82" s="316"/>
      <c r="Q82" s="316"/>
      <c r="R82" s="316"/>
      <c r="S82" s="316"/>
      <c r="T82" s="317"/>
      <c r="U82" s="317"/>
      <c r="V82" s="318"/>
      <c r="W82" s="484"/>
      <c r="X82" s="320"/>
      <c r="Y82" s="321"/>
      <c r="Z82" s="322"/>
      <c r="AA82" s="323"/>
      <c r="AB82" s="323">
        <f>W82</f>
        <v>0</v>
      </c>
      <c r="AC82" s="324"/>
      <c r="AD82" s="324"/>
      <c r="AE82" s="324"/>
      <c r="AF82" s="324"/>
      <c r="AG82" s="325"/>
      <c r="AH82" s="325"/>
      <c r="AI82" s="325"/>
      <c r="AJ82" s="326"/>
      <c r="AK82" s="332">
        <f t="shared" si="35"/>
        <v>0</v>
      </c>
      <c r="AL82" s="328"/>
      <c r="AM82" s="322"/>
      <c r="AN82" s="323"/>
      <c r="AO82" s="323"/>
      <c r="AP82" s="324"/>
      <c r="AQ82" s="324"/>
      <c r="AR82" s="324"/>
      <c r="AS82" s="324"/>
      <c r="AT82" s="325"/>
      <c r="AU82" s="325"/>
      <c r="AV82" s="325"/>
      <c r="AW82" s="326"/>
      <c r="AX82" s="332"/>
      <c r="AY82" s="333"/>
    </row>
    <row r="83" spans="1:51" s="330" customFormat="1" ht="15" customHeight="1" x14ac:dyDescent="0.25">
      <c r="A83" s="306"/>
      <c r="B83" s="307"/>
      <c r="C83" s="307"/>
      <c r="D83" s="308"/>
      <c r="E83" s="308"/>
      <c r="F83" s="308"/>
      <c r="G83" s="307"/>
      <c r="H83" s="311"/>
      <c r="I83" s="312"/>
      <c r="J83" s="331"/>
      <c r="K83" s="314"/>
      <c r="L83" s="315"/>
      <c r="M83" s="316"/>
      <c r="N83" s="316"/>
      <c r="O83" s="316"/>
      <c r="P83" s="316"/>
      <c r="Q83" s="316"/>
      <c r="R83" s="316"/>
      <c r="S83" s="316"/>
      <c r="T83" s="317"/>
      <c r="U83" s="317"/>
      <c r="V83" s="318"/>
      <c r="W83" s="319"/>
      <c r="X83" s="320"/>
      <c r="Y83" s="321"/>
      <c r="Z83" s="322"/>
      <c r="AA83" s="323"/>
      <c r="AB83" s="323"/>
      <c r="AC83" s="324"/>
      <c r="AD83" s="324"/>
      <c r="AE83" s="324"/>
      <c r="AF83" s="324"/>
      <c r="AG83" s="325"/>
      <c r="AH83" s="325"/>
      <c r="AI83" s="325"/>
      <c r="AJ83" s="326"/>
      <c r="AK83" s="332"/>
      <c r="AL83" s="328"/>
      <c r="AM83" s="322"/>
      <c r="AN83" s="323"/>
      <c r="AO83" s="323"/>
      <c r="AP83" s="324"/>
      <c r="AQ83" s="324"/>
      <c r="AR83" s="324"/>
      <c r="AS83" s="324"/>
      <c r="AT83" s="325"/>
      <c r="AU83" s="325"/>
      <c r="AV83" s="325"/>
      <c r="AW83" s="326"/>
      <c r="AX83" s="332"/>
      <c r="AY83" s="333"/>
    </row>
    <row r="84" spans="1:51" s="330" customFormat="1" ht="15" customHeight="1" x14ac:dyDescent="0.25">
      <c r="A84" s="306"/>
      <c r="B84" s="307" t="s">
        <v>59</v>
      </c>
      <c r="C84" s="307" t="s">
        <v>50</v>
      </c>
      <c r="D84" s="309" t="s">
        <v>67</v>
      </c>
      <c r="E84" s="309" t="s">
        <v>65</v>
      </c>
      <c r="F84" s="308" t="s">
        <v>65</v>
      </c>
      <c r="G84" s="310" t="s">
        <v>596</v>
      </c>
      <c r="H84" s="311"/>
      <c r="I84" s="312"/>
      <c r="J84" s="331" t="s">
        <v>597</v>
      </c>
      <c r="K84" s="314"/>
      <c r="L84" s="315"/>
      <c r="M84" s="316"/>
      <c r="N84" s="316"/>
      <c r="O84" s="316"/>
      <c r="P84" s="316"/>
      <c r="Q84" s="316"/>
      <c r="R84" s="316"/>
      <c r="S84" s="316"/>
      <c r="T84" s="317"/>
      <c r="U84" s="317"/>
      <c r="V84" s="318"/>
      <c r="W84" s="319">
        <f>SUM(W85:W96)</f>
        <v>3698040</v>
      </c>
      <c r="X84" s="320"/>
      <c r="Y84" s="321"/>
      <c r="Z84" s="322"/>
      <c r="AA84" s="323"/>
      <c r="AB84" s="323"/>
      <c r="AC84" s="324"/>
      <c r="AD84" s="324"/>
      <c r="AE84" s="324"/>
      <c r="AF84" s="324"/>
      <c r="AG84" s="325"/>
      <c r="AH84" s="325"/>
      <c r="AI84" s="325"/>
      <c r="AJ84" s="326"/>
      <c r="AK84" s="332"/>
      <c r="AL84" s="328"/>
      <c r="AM84" s="322"/>
      <c r="AN84" s="323"/>
      <c r="AO84" s="323"/>
      <c r="AP84" s="324"/>
      <c r="AQ84" s="324"/>
      <c r="AR84" s="324"/>
      <c r="AS84" s="324"/>
      <c r="AT84" s="325"/>
      <c r="AU84" s="325"/>
      <c r="AV84" s="325"/>
      <c r="AW84" s="326"/>
      <c r="AX84" s="332"/>
      <c r="AY84" s="333"/>
    </row>
    <row r="85" spans="1:51" s="330" customFormat="1" ht="15" customHeight="1" x14ac:dyDescent="0.25">
      <c r="A85" s="306"/>
      <c r="B85" s="307"/>
      <c r="C85" s="307"/>
      <c r="D85" s="308"/>
      <c r="E85" s="308"/>
      <c r="F85" s="308"/>
      <c r="G85" s="307"/>
      <c r="H85" s="311"/>
      <c r="I85" s="312"/>
      <c r="J85" s="331" t="s">
        <v>598</v>
      </c>
      <c r="K85" s="314"/>
      <c r="L85" s="315"/>
      <c r="M85" s="316"/>
      <c r="N85" s="316"/>
      <c r="O85" s="316"/>
      <c r="P85" s="316"/>
      <c r="Q85" s="316"/>
      <c r="R85" s="316">
        <v>12</v>
      </c>
      <c r="S85" s="316" t="s">
        <v>580</v>
      </c>
      <c r="T85" s="317">
        <f t="shared" ref="T85" si="47">R85</f>
        <v>12</v>
      </c>
      <c r="U85" s="317" t="s">
        <v>580</v>
      </c>
      <c r="V85" s="318">
        <v>25000</v>
      </c>
      <c r="W85" s="484">
        <f t="shared" ref="W85:W96" si="48">V85*T85</f>
        <v>300000</v>
      </c>
      <c r="X85" s="320" t="s">
        <v>566</v>
      </c>
      <c r="Y85" s="321"/>
      <c r="Z85" s="322"/>
      <c r="AA85" s="323">
        <f>W85</f>
        <v>300000</v>
      </c>
      <c r="AB85" s="323"/>
      <c r="AC85" s="324"/>
      <c r="AD85" s="324"/>
      <c r="AE85" s="324"/>
      <c r="AF85" s="324"/>
      <c r="AG85" s="325"/>
      <c r="AH85" s="325"/>
      <c r="AI85" s="325"/>
      <c r="AJ85" s="326"/>
      <c r="AK85" s="332">
        <f t="shared" ref="AK85:AK97" si="49">SUM(Y85:AJ85)</f>
        <v>300000</v>
      </c>
      <c r="AL85" s="328"/>
      <c r="AM85" s="322"/>
      <c r="AN85" s="323"/>
      <c r="AO85" s="323"/>
      <c r="AP85" s="324"/>
      <c r="AQ85" s="324"/>
      <c r="AR85" s="324"/>
      <c r="AS85" s="324"/>
      <c r="AT85" s="325"/>
      <c r="AU85" s="325"/>
      <c r="AV85" s="325"/>
      <c r="AW85" s="326"/>
      <c r="AX85" s="332">
        <f t="shared" ref="AX85" si="50">SUM(AL85:AW85)</f>
        <v>0</v>
      </c>
      <c r="AY85" s="333">
        <f t="shared" ref="AY85" si="51">AK85-AX85</f>
        <v>300000</v>
      </c>
    </row>
    <row r="86" spans="1:51" s="330" customFormat="1" ht="15" customHeight="1" x14ac:dyDescent="0.25">
      <c r="A86" s="306"/>
      <c r="B86" s="307"/>
      <c r="C86" s="307"/>
      <c r="D86" s="308"/>
      <c r="E86" s="308"/>
      <c r="F86" s="308"/>
      <c r="G86" s="307"/>
      <c r="H86" s="311"/>
      <c r="I86" s="312"/>
      <c r="J86" s="331" t="s">
        <v>599</v>
      </c>
      <c r="K86" s="314"/>
      <c r="L86" s="315"/>
      <c r="M86" s="316"/>
      <c r="N86" s="316"/>
      <c r="O86" s="316"/>
      <c r="P86" s="316"/>
      <c r="Q86" s="316"/>
      <c r="R86" s="316">
        <v>2</v>
      </c>
      <c r="S86" s="316" t="s">
        <v>600</v>
      </c>
      <c r="T86" s="317">
        <f t="shared" ref="T86:T88" si="52">R86</f>
        <v>2</v>
      </c>
      <c r="U86" s="317" t="s">
        <v>600</v>
      </c>
      <c r="V86" s="318">
        <v>33300</v>
      </c>
      <c r="W86" s="484">
        <f t="shared" si="48"/>
        <v>66600</v>
      </c>
      <c r="X86" s="320" t="s">
        <v>566</v>
      </c>
      <c r="Y86" s="321"/>
      <c r="Z86" s="322"/>
      <c r="AA86" s="323">
        <v>66600</v>
      </c>
      <c r="AB86" s="323"/>
      <c r="AC86" s="324"/>
      <c r="AD86" s="324"/>
      <c r="AE86" s="324"/>
      <c r="AF86" s="324"/>
      <c r="AG86" s="325"/>
      <c r="AH86" s="325"/>
      <c r="AI86" s="325"/>
      <c r="AJ86" s="326"/>
      <c r="AK86" s="332">
        <f t="shared" si="49"/>
        <v>66600</v>
      </c>
      <c r="AL86" s="328"/>
      <c r="AM86" s="322"/>
      <c r="AN86" s="323"/>
      <c r="AO86" s="323"/>
      <c r="AP86" s="324"/>
      <c r="AQ86" s="324"/>
      <c r="AR86" s="324"/>
      <c r="AS86" s="324"/>
      <c r="AT86" s="325"/>
      <c r="AU86" s="325"/>
      <c r="AV86" s="325"/>
      <c r="AW86" s="326"/>
      <c r="AX86" s="332">
        <f t="shared" ref="AX86" si="53">SUM(AL86:AW86)</f>
        <v>0</v>
      </c>
      <c r="AY86" s="333">
        <f t="shared" ref="AY86" si="54">AK86-AX86</f>
        <v>66600</v>
      </c>
    </row>
    <row r="87" spans="1:51" s="330" customFormat="1" ht="15" customHeight="1" x14ac:dyDescent="0.25">
      <c r="A87" s="306"/>
      <c r="B87" s="307"/>
      <c r="C87" s="307"/>
      <c r="D87" s="308"/>
      <c r="E87" s="308"/>
      <c r="F87" s="308"/>
      <c r="G87" s="307"/>
      <c r="H87" s="311"/>
      <c r="I87" s="312"/>
      <c r="J87" s="331" t="s">
        <v>601</v>
      </c>
      <c r="K87" s="314"/>
      <c r="L87" s="315"/>
      <c r="M87" s="316"/>
      <c r="N87" s="316"/>
      <c r="O87" s="316"/>
      <c r="P87" s="316"/>
      <c r="Q87" s="316"/>
      <c r="R87" s="316">
        <v>13</v>
      </c>
      <c r="S87" s="316" t="s">
        <v>584</v>
      </c>
      <c r="T87" s="317">
        <f t="shared" si="52"/>
        <v>13</v>
      </c>
      <c r="U87" s="317" t="s">
        <v>584</v>
      </c>
      <c r="V87" s="318">
        <v>30000</v>
      </c>
      <c r="W87" s="484">
        <f t="shared" si="48"/>
        <v>390000</v>
      </c>
      <c r="X87" s="320" t="s">
        <v>566</v>
      </c>
      <c r="Y87" s="321"/>
      <c r="Z87" s="322"/>
      <c r="AA87" s="323">
        <v>390000</v>
      </c>
      <c r="AB87" s="323"/>
      <c r="AC87" s="324"/>
      <c r="AD87" s="324"/>
      <c r="AE87" s="324"/>
      <c r="AF87" s="324"/>
      <c r="AG87" s="325"/>
      <c r="AH87" s="325"/>
      <c r="AI87" s="325"/>
      <c r="AJ87" s="326"/>
      <c r="AK87" s="332">
        <f t="shared" si="49"/>
        <v>390000</v>
      </c>
      <c r="AL87" s="328"/>
      <c r="AM87" s="322"/>
      <c r="AN87" s="323"/>
      <c r="AO87" s="323"/>
      <c r="AP87" s="324"/>
      <c r="AQ87" s="324"/>
      <c r="AR87" s="324"/>
      <c r="AS87" s="324"/>
      <c r="AT87" s="325"/>
      <c r="AU87" s="325"/>
      <c r="AV87" s="325"/>
      <c r="AW87" s="326"/>
      <c r="AX87" s="332">
        <f t="shared" ref="AX87" si="55">SUM(AL87:AW87)</f>
        <v>0</v>
      </c>
      <c r="AY87" s="333">
        <f t="shared" ref="AY87" si="56">AK87-AX87</f>
        <v>390000</v>
      </c>
    </row>
    <row r="88" spans="1:51" s="330" customFormat="1" ht="15" customHeight="1" x14ac:dyDescent="0.25">
      <c r="A88" s="306"/>
      <c r="B88" s="307"/>
      <c r="C88" s="307"/>
      <c r="D88" s="308"/>
      <c r="E88" s="308"/>
      <c r="F88" s="308"/>
      <c r="G88" s="307"/>
      <c r="H88" s="311"/>
      <c r="I88" s="312"/>
      <c r="J88" s="331" t="s">
        <v>602</v>
      </c>
      <c r="K88" s="314"/>
      <c r="L88" s="315"/>
      <c r="M88" s="316"/>
      <c r="N88" s="316"/>
      <c r="O88" s="316"/>
      <c r="P88" s="316"/>
      <c r="Q88" s="316"/>
      <c r="R88" s="316">
        <v>12</v>
      </c>
      <c r="S88" s="316" t="s">
        <v>580</v>
      </c>
      <c r="T88" s="317">
        <f t="shared" si="52"/>
        <v>12</v>
      </c>
      <c r="U88" s="317" t="s">
        <v>580</v>
      </c>
      <c r="V88" s="318">
        <v>20535</v>
      </c>
      <c r="W88" s="484">
        <f t="shared" si="48"/>
        <v>246420</v>
      </c>
      <c r="X88" s="320" t="s">
        <v>566</v>
      </c>
      <c r="Y88" s="321"/>
      <c r="Z88" s="322"/>
      <c r="AA88" s="323">
        <v>246420</v>
      </c>
      <c r="AB88" s="323"/>
      <c r="AC88" s="324"/>
      <c r="AD88" s="324"/>
      <c r="AE88" s="324"/>
      <c r="AF88" s="324"/>
      <c r="AG88" s="325"/>
      <c r="AH88" s="325"/>
      <c r="AI88" s="325"/>
      <c r="AJ88" s="326"/>
      <c r="AK88" s="332">
        <f t="shared" si="49"/>
        <v>246420</v>
      </c>
      <c r="AL88" s="328"/>
      <c r="AM88" s="322"/>
      <c r="AN88" s="323"/>
      <c r="AO88" s="323"/>
      <c r="AP88" s="324"/>
      <c r="AQ88" s="324"/>
      <c r="AR88" s="324"/>
      <c r="AS88" s="324"/>
      <c r="AT88" s="325"/>
      <c r="AU88" s="325"/>
      <c r="AV88" s="325"/>
      <c r="AW88" s="326"/>
      <c r="AX88" s="332">
        <f t="shared" ref="AX88" si="57">SUM(AL88:AW88)</f>
        <v>0</v>
      </c>
      <c r="AY88" s="333">
        <f t="shared" ref="AY88" si="58">AK88-AX88</f>
        <v>246420</v>
      </c>
    </row>
    <row r="89" spans="1:51" s="330" customFormat="1" ht="15" customHeight="1" x14ac:dyDescent="0.25">
      <c r="A89" s="306"/>
      <c r="B89" s="307"/>
      <c r="C89" s="307"/>
      <c r="D89" s="308"/>
      <c r="E89" s="308"/>
      <c r="F89" s="308"/>
      <c r="G89" s="307"/>
      <c r="H89" s="311"/>
      <c r="I89" s="312"/>
      <c r="J89" s="331" t="s">
        <v>603</v>
      </c>
      <c r="K89" s="314"/>
      <c r="L89" s="315"/>
      <c r="M89" s="316"/>
      <c r="N89" s="316"/>
      <c r="O89" s="316"/>
      <c r="P89" s="316"/>
      <c r="Q89" s="316"/>
      <c r="R89" s="316">
        <v>6</v>
      </c>
      <c r="S89" s="316" t="s">
        <v>580</v>
      </c>
      <c r="T89" s="317">
        <f t="shared" ref="T89:T90" si="59">R89</f>
        <v>6</v>
      </c>
      <c r="U89" s="317" t="s">
        <v>580</v>
      </c>
      <c r="V89" s="318">
        <v>38500</v>
      </c>
      <c r="W89" s="484">
        <f t="shared" si="48"/>
        <v>231000</v>
      </c>
      <c r="X89" s="320" t="s">
        <v>566</v>
      </c>
      <c r="Y89" s="321"/>
      <c r="Z89" s="322"/>
      <c r="AA89" s="323">
        <v>115500</v>
      </c>
      <c r="AB89" s="323"/>
      <c r="AC89" s="324"/>
      <c r="AD89" s="324"/>
      <c r="AE89" s="324"/>
      <c r="AF89" s="324"/>
      <c r="AG89" s="325"/>
      <c r="AH89" s="325"/>
      <c r="AI89" s="325"/>
      <c r="AJ89" s="326"/>
      <c r="AK89" s="332">
        <f t="shared" si="49"/>
        <v>115500</v>
      </c>
      <c r="AL89" s="328"/>
      <c r="AM89" s="322"/>
      <c r="AN89" s="323"/>
      <c r="AO89" s="323"/>
      <c r="AP89" s="324"/>
      <c r="AQ89" s="324"/>
      <c r="AR89" s="324"/>
      <c r="AS89" s="324"/>
      <c r="AT89" s="325"/>
      <c r="AU89" s="325"/>
      <c r="AV89" s="325"/>
      <c r="AW89" s="326"/>
      <c r="AX89" s="332">
        <f t="shared" ref="AX89" si="60">SUM(AL89:AW89)</f>
        <v>0</v>
      </c>
      <c r="AY89" s="333">
        <f t="shared" ref="AY89" si="61">AK89-AX89</f>
        <v>115500</v>
      </c>
    </row>
    <row r="90" spans="1:51" s="330" customFormat="1" ht="15" customHeight="1" x14ac:dyDescent="0.25">
      <c r="A90" s="306"/>
      <c r="B90" s="307"/>
      <c r="C90" s="307"/>
      <c r="D90" s="308"/>
      <c r="E90" s="308"/>
      <c r="F90" s="308"/>
      <c r="G90" s="307"/>
      <c r="H90" s="311"/>
      <c r="I90" s="312"/>
      <c r="J90" s="331" t="s">
        <v>604</v>
      </c>
      <c r="K90" s="314"/>
      <c r="L90" s="315"/>
      <c r="M90" s="316"/>
      <c r="N90" s="316"/>
      <c r="O90" s="316"/>
      <c r="P90" s="316"/>
      <c r="Q90" s="316"/>
      <c r="R90" s="316">
        <v>24</v>
      </c>
      <c r="S90" s="316" t="s">
        <v>580</v>
      </c>
      <c r="T90" s="317">
        <f t="shared" si="59"/>
        <v>24</v>
      </c>
      <c r="U90" s="317" t="s">
        <v>580</v>
      </c>
      <c r="V90" s="318">
        <v>18880</v>
      </c>
      <c r="W90" s="484">
        <f t="shared" si="48"/>
        <v>453120</v>
      </c>
      <c r="X90" s="320" t="s">
        <v>566</v>
      </c>
      <c r="Y90" s="321"/>
      <c r="Z90" s="322"/>
      <c r="AA90" s="323">
        <v>226560</v>
      </c>
      <c r="AB90" s="323"/>
      <c r="AC90" s="324"/>
      <c r="AD90" s="324"/>
      <c r="AE90" s="324"/>
      <c r="AF90" s="324">
        <v>226560</v>
      </c>
      <c r="AG90" s="325"/>
      <c r="AH90" s="325"/>
      <c r="AI90" s="325"/>
      <c r="AJ90" s="326"/>
      <c r="AK90" s="332">
        <f t="shared" si="49"/>
        <v>453120</v>
      </c>
      <c r="AL90" s="328"/>
      <c r="AM90" s="322"/>
      <c r="AN90" s="323"/>
      <c r="AO90" s="323"/>
      <c r="AP90" s="324"/>
      <c r="AQ90" s="324"/>
      <c r="AR90" s="324"/>
      <c r="AS90" s="324"/>
      <c r="AT90" s="325"/>
      <c r="AU90" s="325"/>
      <c r="AV90" s="325"/>
      <c r="AW90" s="326"/>
      <c r="AX90" s="332">
        <f t="shared" ref="AX90" si="62">SUM(AL90:AW90)</f>
        <v>0</v>
      </c>
      <c r="AY90" s="333">
        <f t="shared" ref="AY90" si="63">AK90-AX90</f>
        <v>453120</v>
      </c>
    </row>
    <row r="91" spans="1:51" s="330" customFormat="1" ht="15" customHeight="1" x14ac:dyDescent="0.25">
      <c r="A91" s="306"/>
      <c r="B91" s="307"/>
      <c r="C91" s="307"/>
      <c r="D91" s="308"/>
      <c r="E91" s="308"/>
      <c r="F91" s="308"/>
      <c r="G91" s="307"/>
      <c r="H91" s="311"/>
      <c r="I91" s="312"/>
      <c r="J91" s="331" t="s">
        <v>605</v>
      </c>
      <c r="K91" s="314"/>
      <c r="L91" s="315"/>
      <c r="M91" s="316"/>
      <c r="N91" s="316"/>
      <c r="O91" s="316"/>
      <c r="P91" s="316"/>
      <c r="Q91" s="316"/>
      <c r="R91" s="316">
        <v>6</v>
      </c>
      <c r="S91" s="316" t="s">
        <v>580</v>
      </c>
      <c r="T91" s="317">
        <f t="shared" ref="T91" si="64">R91</f>
        <v>6</v>
      </c>
      <c r="U91" s="317" t="s">
        <v>580</v>
      </c>
      <c r="V91" s="318">
        <v>27750</v>
      </c>
      <c r="W91" s="484">
        <f t="shared" si="48"/>
        <v>166500</v>
      </c>
      <c r="X91" s="320" t="s">
        <v>566</v>
      </c>
      <c r="Y91" s="321"/>
      <c r="Z91" s="322"/>
      <c r="AA91" s="323">
        <v>166500</v>
      </c>
      <c r="AB91" s="323"/>
      <c r="AC91" s="324"/>
      <c r="AD91" s="324"/>
      <c r="AE91" s="324"/>
      <c r="AF91" s="324"/>
      <c r="AG91" s="325"/>
      <c r="AH91" s="325"/>
      <c r="AI91" s="325"/>
      <c r="AJ91" s="326"/>
      <c r="AK91" s="332">
        <f t="shared" si="49"/>
        <v>166500</v>
      </c>
      <c r="AL91" s="328"/>
      <c r="AM91" s="322"/>
      <c r="AN91" s="323"/>
      <c r="AO91" s="323"/>
      <c r="AP91" s="324"/>
      <c r="AQ91" s="324"/>
      <c r="AR91" s="324"/>
      <c r="AS91" s="324"/>
      <c r="AT91" s="325"/>
      <c r="AU91" s="325"/>
      <c r="AV91" s="325"/>
      <c r="AW91" s="326"/>
      <c r="AX91" s="332">
        <f t="shared" ref="AX91" si="65">SUM(AL91:AW91)</f>
        <v>0</v>
      </c>
      <c r="AY91" s="333">
        <f t="shared" ref="AY91" si="66">AK91-AX91</f>
        <v>166500</v>
      </c>
    </row>
    <row r="92" spans="1:51" s="330" customFormat="1" ht="15" customHeight="1" x14ac:dyDescent="0.25">
      <c r="A92" s="306"/>
      <c r="B92" s="307"/>
      <c r="C92" s="307"/>
      <c r="D92" s="308"/>
      <c r="E92" s="308"/>
      <c r="F92" s="308"/>
      <c r="G92" s="307"/>
      <c r="H92" s="311"/>
      <c r="I92" s="312"/>
      <c r="J92" s="331" t="s">
        <v>606</v>
      </c>
      <c r="K92" s="314"/>
      <c r="L92" s="315"/>
      <c r="M92" s="316"/>
      <c r="N92" s="316"/>
      <c r="O92" s="316"/>
      <c r="P92" s="316"/>
      <c r="Q92" s="316"/>
      <c r="R92" s="316">
        <v>6</v>
      </c>
      <c r="S92" s="316" t="s">
        <v>580</v>
      </c>
      <c r="T92" s="317">
        <f t="shared" ref="T92" si="67">R92</f>
        <v>6</v>
      </c>
      <c r="U92" s="317" t="s">
        <v>580</v>
      </c>
      <c r="V92" s="318">
        <v>22000</v>
      </c>
      <c r="W92" s="484">
        <f t="shared" si="48"/>
        <v>132000</v>
      </c>
      <c r="X92" s="320" t="s">
        <v>566</v>
      </c>
      <c r="Y92" s="321"/>
      <c r="Z92" s="322"/>
      <c r="AA92" s="323">
        <v>132000</v>
      </c>
      <c r="AB92" s="323"/>
      <c r="AC92" s="324"/>
      <c r="AD92" s="324"/>
      <c r="AE92" s="324"/>
      <c r="AF92" s="324"/>
      <c r="AG92" s="325"/>
      <c r="AH92" s="325"/>
      <c r="AI92" s="325"/>
      <c r="AJ92" s="326"/>
      <c r="AK92" s="332">
        <f t="shared" si="49"/>
        <v>132000</v>
      </c>
      <c r="AL92" s="328"/>
      <c r="AM92" s="322"/>
      <c r="AN92" s="323"/>
      <c r="AO92" s="323"/>
      <c r="AP92" s="324"/>
      <c r="AQ92" s="324"/>
      <c r="AR92" s="324"/>
      <c r="AS92" s="324"/>
      <c r="AT92" s="325"/>
      <c r="AU92" s="325"/>
      <c r="AV92" s="325"/>
      <c r="AW92" s="326"/>
      <c r="AX92" s="332">
        <f t="shared" ref="AX92" si="68">SUM(AL92:AW92)</f>
        <v>0</v>
      </c>
      <c r="AY92" s="333">
        <f t="shared" ref="AY92" si="69">AK92-AX92</f>
        <v>132000</v>
      </c>
    </row>
    <row r="93" spans="1:51" s="330" customFormat="1" ht="15" customHeight="1" x14ac:dyDescent="0.25">
      <c r="A93" s="306"/>
      <c r="B93" s="307"/>
      <c r="C93" s="307"/>
      <c r="D93" s="308"/>
      <c r="E93" s="308"/>
      <c r="F93" s="308"/>
      <c r="G93" s="307"/>
      <c r="H93" s="311"/>
      <c r="I93" s="312"/>
      <c r="J93" s="331" t="s">
        <v>607</v>
      </c>
      <c r="K93" s="314"/>
      <c r="L93" s="315"/>
      <c r="M93" s="316"/>
      <c r="N93" s="316"/>
      <c r="O93" s="316"/>
      <c r="P93" s="316"/>
      <c r="Q93" s="316"/>
      <c r="R93" s="316">
        <v>12</v>
      </c>
      <c r="S93" s="316" t="s">
        <v>580</v>
      </c>
      <c r="T93" s="317">
        <f t="shared" ref="T93:T96" si="70">R93</f>
        <v>12</v>
      </c>
      <c r="U93" s="317" t="s">
        <v>580</v>
      </c>
      <c r="V93" s="318">
        <v>22200</v>
      </c>
      <c r="W93" s="484">
        <f t="shared" si="48"/>
        <v>266400</v>
      </c>
      <c r="X93" s="320" t="s">
        <v>566</v>
      </c>
      <c r="Y93" s="321"/>
      <c r="Z93" s="322"/>
      <c r="AA93" s="323">
        <v>266400</v>
      </c>
      <c r="AB93" s="323"/>
      <c r="AC93" s="324"/>
      <c r="AD93" s="324"/>
      <c r="AE93" s="324"/>
      <c r="AF93" s="324"/>
      <c r="AG93" s="325"/>
      <c r="AH93" s="325"/>
      <c r="AI93" s="325"/>
      <c r="AJ93" s="326"/>
      <c r="AK93" s="332">
        <f t="shared" si="49"/>
        <v>266400</v>
      </c>
      <c r="AL93" s="328"/>
      <c r="AM93" s="322"/>
      <c r="AN93" s="323"/>
      <c r="AO93" s="323"/>
      <c r="AP93" s="324"/>
      <c r="AQ93" s="324"/>
      <c r="AR93" s="324"/>
      <c r="AS93" s="324"/>
      <c r="AT93" s="325"/>
      <c r="AU93" s="325"/>
      <c r="AV93" s="325"/>
      <c r="AW93" s="326"/>
      <c r="AX93" s="332">
        <f t="shared" ref="AX93" si="71">SUM(AL93:AW93)</f>
        <v>0</v>
      </c>
      <c r="AY93" s="333">
        <f t="shared" ref="AY93" si="72">AK93-AX93</f>
        <v>266400</v>
      </c>
    </row>
    <row r="94" spans="1:51" s="330" customFormat="1" ht="15" customHeight="1" x14ac:dyDescent="0.25">
      <c r="A94" s="306"/>
      <c r="B94" s="307"/>
      <c r="C94" s="307"/>
      <c r="D94" s="308"/>
      <c r="E94" s="308"/>
      <c r="F94" s="308"/>
      <c r="G94" s="307"/>
      <c r="H94" s="311"/>
      <c r="I94" s="312"/>
      <c r="J94" s="331" t="s">
        <v>889</v>
      </c>
      <c r="K94" s="314"/>
      <c r="L94" s="315"/>
      <c r="M94" s="316"/>
      <c r="N94" s="316"/>
      <c r="O94" s="316"/>
      <c r="P94" s="316"/>
      <c r="Q94" s="316"/>
      <c r="R94" s="316">
        <v>6</v>
      </c>
      <c r="S94" s="316" t="s">
        <v>580</v>
      </c>
      <c r="T94" s="317">
        <f t="shared" si="70"/>
        <v>6</v>
      </c>
      <c r="U94" s="317" t="s">
        <v>580</v>
      </c>
      <c r="V94" s="318">
        <v>85000</v>
      </c>
      <c r="W94" s="484">
        <f t="shared" si="48"/>
        <v>510000</v>
      </c>
      <c r="X94" s="320" t="s">
        <v>566</v>
      </c>
      <c r="Y94" s="321"/>
      <c r="Z94" s="322">
        <f>W94</f>
        <v>510000</v>
      </c>
      <c r="AA94" s="323"/>
      <c r="AB94" s="323"/>
      <c r="AC94" s="324"/>
      <c r="AD94" s="324"/>
      <c r="AE94" s="324"/>
      <c r="AF94" s="324"/>
      <c r="AG94" s="325"/>
      <c r="AH94" s="325"/>
      <c r="AI94" s="325"/>
      <c r="AJ94" s="326"/>
      <c r="AK94" s="332">
        <f t="shared" si="49"/>
        <v>510000</v>
      </c>
      <c r="AL94" s="328"/>
      <c r="AM94" s="322"/>
      <c r="AN94" s="323"/>
      <c r="AO94" s="323"/>
      <c r="AP94" s="324"/>
      <c r="AQ94" s="324"/>
      <c r="AR94" s="324"/>
      <c r="AS94" s="324"/>
      <c r="AT94" s="325"/>
      <c r="AU94" s="325"/>
      <c r="AV94" s="325"/>
      <c r="AW94" s="326"/>
      <c r="AX94" s="332"/>
      <c r="AY94" s="333"/>
    </row>
    <row r="95" spans="1:51" s="330" customFormat="1" ht="15" customHeight="1" x14ac:dyDescent="0.25">
      <c r="A95" s="306"/>
      <c r="B95" s="307"/>
      <c r="C95" s="307"/>
      <c r="D95" s="308"/>
      <c r="E95" s="308"/>
      <c r="F95" s="308"/>
      <c r="G95" s="307"/>
      <c r="H95" s="311"/>
      <c r="I95" s="312"/>
      <c r="J95" s="223" t="s">
        <v>890</v>
      </c>
      <c r="K95" s="314"/>
      <c r="L95" s="315"/>
      <c r="M95" s="316"/>
      <c r="N95" s="316"/>
      <c r="O95" s="316"/>
      <c r="P95" s="316"/>
      <c r="Q95" s="316"/>
      <c r="R95" s="316">
        <v>6</v>
      </c>
      <c r="S95" s="316" t="s">
        <v>580</v>
      </c>
      <c r="T95" s="317">
        <f t="shared" si="70"/>
        <v>6</v>
      </c>
      <c r="U95" s="317" t="s">
        <v>580</v>
      </c>
      <c r="V95" s="318">
        <v>36000</v>
      </c>
      <c r="W95" s="484">
        <f t="shared" si="48"/>
        <v>216000</v>
      </c>
      <c r="X95" s="320" t="s">
        <v>566</v>
      </c>
      <c r="Y95" s="321"/>
      <c r="Z95" s="322">
        <f>W95</f>
        <v>216000</v>
      </c>
      <c r="AA95" s="323"/>
      <c r="AB95" s="323"/>
      <c r="AC95" s="324"/>
      <c r="AD95" s="324"/>
      <c r="AE95" s="324"/>
      <c r="AF95" s="324"/>
      <c r="AG95" s="325"/>
      <c r="AH95" s="325"/>
      <c r="AI95" s="325"/>
      <c r="AJ95" s="326"/>
      <c r="AK95" s="332">
        <f t="shared" si="49"/>
        <v>216000</v>
      </c>
      <c r="AL95" s="328"/>
      <c r="AM95" s="322"/>
      <c r="AN95" s="323"/>
      <c r="AO95" s="323"/>
      <c r="AP95" s="324"/>
      <c r="AQ95" s="324"/>
      <c r="AR95" s="324"/>
      <c r="AS95" s="324"/>
      <c r="AT95" s="325"/>
      <c r="AU95" s="325"/>
      <c r="AV95" s="325"/>
      <c r="AW95" s="326"/>
      <c r="AX95" s="332"/>
      <c r="AY95" s="333"/>
    </row>
    <row r="96" spans="1:51" s="330" customFormat="1" ht="15" customHeight="1" x14ac:dyDescent="0.25">
      <c r="A96" s="306"/>
      <c r="B96" s="307"/>
      <c r="C96" s="307"/>
      <c r="D96" s="308"/>
      <c r="E96" s="308"/>
      <c r="F96" s="308"/>
      <c r="G96" s="307"/>
      <c r="H96" s="311"/>
      <c r="I96" s="312"/>
      <c r="J96" s="223" t="s">
        <v>895</v>
      </c>
      <c r="K96" s="314"/>
      <c r="L96" s="315"/>
      <c r="M96" s="316"/>
      <c r="N96" s="316"/>
      <c r="O96" s="316"/>
      <c r="P96" s="316"/>
      <c r="Q96" s="316"/>
      <c r="R96" s="316">
        <v>40</v>
      </c>
      <c r="S96" s="316" t="s">
        <v>580</v>
      </c>
      <c r="T96" s="317">
        <f t="shared" si="70"/>
        <v>40</v>
      </c>
      <c r="U96" s="317" t="s">
        <v>580</v>
      </c>
      <c r="V96" s="318">
        <v>18000</v>
      </c>
      <c r="W96" s="484">
        <f t="shared" si="48"/>
        <v>720000</v>
      </c>
      <c r="X96" s="320" t="s">
        <v>566</v>
      </c>
      <c r="Y96" s="321"/>
      <c r="Z96" s="322"/>
      <c r="AA96" s="323"/>
      <c r="AB96" s="323"/>
      <c r="AC96" s="324"/>
      <c r="AD96" s="324">
        <f>W96</f>
        <v>720000</v>
      </c>
      <c r="AE96" s="324"/>
      <c r="AF96" s="324"/>
      <c r="AG96" s="325"/>
      <c r="AH96" s="325"/>
      <c r="AI96" s="325"/>
      <c r="AJ96" s="326"/>
      <c r="AK96" s="332">
        <f t="shared" si="49"/>
        <v>720000</v>
      </c>
      <c r="AL96" s="328"/>
      <c r="AM96" s="322"/>
      <c r="AN96" s="323"/>
      <c r="AO96" s="323"/>
      <c r="AP96" s="324"/>
      <c r="AQ96" s="324"/>
      <c r="AR96" s="324"/>
      <c r="AS96" s="324"/>
      <c r="AT96" s="325"/>
      <c r="AU96" s="325"/>
      <c r="AV96" s="325"/>
      <c r="AW96" s="326"/>
      <c r="AX96" s="332"/>
      <c r="AY96" s="333"/>
    </row>
    <row r="97" spans="1:51" s="330" customFormat="1" ht="15" customHeight="1" x14ac:dyDescent="0.25">
      <c r="A97" s="306"/>
      <c r="B97" s="307"/>
      <c r="C97" s="307"/>
      <c r="D97" s="308"/>
      <c r="E97" s="308"/>
      <c r="F97" s="308"/>
      <c r="G97" s="307"/>
      <c r="H97" s="311"/>
      <c r="I97" s="312"/>
      <c r="J97" s="331"/>
      <c r="K97" s="314"/>
      <c r="L97" s="315"/>
      <c r="M97" s="316"/>
      <c r="N97" s="316"/>
      <c r="O97" s="316"/>
      <c r="P97" s="316"/>
      <c r="Q97" s="316"/>
      <c r="R97" s="316"/>
      <c r="S97" s="316"/>
      <c r="T97" s="317"/>
      <c r="U97" s="317"/>
      <c r="V97" s="318"/>
      <c r="W97" s="319"/>
      <c r="X97" s="320"/>
      <c r="Y97" s="321"/>
      <c r="Z97" s="322"/>
      <c r="AA97" s="323"/>
      <c r="AB97" s="323"/>
      <c r="AC97" s="324"/>
      <c r="AD97" s="324"/>
      <c r="AE97" s="324"/>
      <c r="AF97" s="324"/>
      <c r="AG97" s="325"/>
      <c r="AH97" s="325"/>
      <c r="AI97" s="325"/>
      <c r="AJ97" s="326"/>
      <c r="AK97" s="332">
        <f t="shared" si="49"/>
        <v>0</v>
      </c>
      <c r="AL97" s="328"/>
      <c r="AM97" s="322"/>
      <c r="AN97" s="323"/>
      <c r="AO97" s="323"/>
      <c r="AP97" s="324"/>
      <c r="AQ97" s="324"/>
      <c r="AR97" s="324"/>
      <c r="AS97" s="324"/>
      <c r="AT97" s="325"/>
      <c r="AU97" s="325"/>
      <c r="AV97" s="325"/>
      <c r="AW97" s="326"/>
      <c r="AX97" s="332"/>
      <c r="AY97" s="333"/>
    </row>
    <row r="98" spans="1:51" s="330" customFormat="1" ht="15" customHeight="1" x14ac:dyDescent="0.25">
      <c r="A98" s="306"/>
      <c r="B98" s="307" t="s">
        <v>59</v>
      </c>
      <c r="C98" s="307" t="s">
        <v>50</v>
      </c>
      <c r="D98" s="309" t="s">
        <v>67</v>
      </c>
      <c r="E98" s="309" t="s">
        <v>65</v>
      </c>
      <c r="F98" s="308" t="s">
        <v>65</v>
      </c>
      <c r="G98" s="310" t="s">
        <v>608</v>
      </c>
      <c r="H98" s="311"/>
      <c r="I98" s="312"/>
      <c r="J98" s="331" t="s">
        <v>609</v>
      </c>
      <c r="K98" s="314"/>
      <c r="L98" s="315"/>
      <c r="M98" s="316"/>
      <c r="N98" s="316"/>
      <c r="O98" s="316"/>
      <c r="P98" s="316"/>
      <c r="Q98" s="316"/>
      <c r="R98" s="316"/>
      <c r="S98" s="316"/>
      <c r="T98" s="317"/>
      <c r="U98" s="317"/>
      <c r="V98" s="318"/>
      <c r="W98" s="319">
        <f>W99+W100</f>
        <v>1596000</v>
      </c>
      <c r="X98" s="320"/>
      <c r="Y98" s="321"/>
      <c r="Z98" s="322"/>
      <c r="AA98" s="323"/>
      <c r="AB98" s="323"/>
      <c r="AC98" s="324"/>
      <c r="AD98" s="324"/>
      <c r="AE98" s="324"/>
      <c r="AF98" s="324"/>
      <c r="AG98" s="325"/>
      <c r="AH98" s="325"/>
      <c r="AI98" s="325"/>
      <c r="AJ98" s="326"/>
      <c r="AK98" s="332"/>
      <c r="AL98" s="328"/>
      <c r="AM98" s="322"/>
      <c r="AN98" s="323"/>
      <c r="AO98" s="323"/>
      <c r="AP98" s="324"/>
      <c r="AQ98" s="324"/>
      <c r="AR98" s="324"/>
      <c r="AS98" s="324"/>
      <c r="AT98" s="325"/>
      <c r="AU98" s="325"/>
      <c r="AV98" s="325"/>
      <c r="AW98" s="326"/>
      <c r="AX98" s="332"/>
      <c r="AY98" s="333"/>
    </row>
    <row r="99" spans="1:51" s="330" customFormat="1" ht="15" customHeight="1" x14ac:dyDescent="0.25">
      <c r="A99" s="306"/>
      <c r="B99" s="307"/>
      <c r="C99" s="307"/>
      <c r="D99" s="308"/>
      <c r="E99" s="308"/>
      <c r="F99" s="308"/>
      <c r="G99" s="307"/>
      <c r="H99" s="311"/>
      <c r="I99" s="312"/>
      <c r="J99" s="331" t="s">
        <v>610</v>
      </c>
      <c r="K99" s="314"/>
      <c r="L99" s="315"/>
      <c r="M99" s="316"/>
      <c r="N99" s="316"/>
      <c r="O99" s="316"/>
      <c r="P99" s="316"/>
      <c r="Q99" s="316"/>
      <c r="R99" s="316">
        <v>12</v>
      </c>
      <c r="S99" s="316" t="s">
        <v>580</v>
      </c>
      <c r="T99" s="317">
        <f t="shared" ref="T99:T100" si="73">R99</f>
        <v>12</v>
      </c>
      <c r="U99" s="317" t="s">
        <v>580</v>
      </c>
      <c r="V99" s="318">
        <v>91000</v>
      </c>
      <c r="W99" s="484">
        <f>V99*T99</f>
        <v>1092000</v>
      </c>
      <c r="X99" s="320" t="s">
        <v>566</v>
      </c>
      <c r="Y99" s="321"/>
      <c r="Z99" s="322"/>
      <c r="AA99" s="323"/>
      <c r="AB99" s="323"/>
      <c r="AC99" s="324"/>
      <c r="AD99" s="324"/>
      <c r="AE99" s="324">
        <v>1092000</v>
      </c>
      <c r="AF99" s="324"/>
      <c r="AG99" s="325"/>
      <c r="AH99" s="325"/>
      <c r="AI99" s="325"/>
      <c r="AJ99" s="326"/>
      <c r="AK99" s="332">
        <f t="shared" ref="AK99:AK100" si="74">SUM(Y99:AJ99)</f>
        <v>1092000</v>
      </c>
      <c r="AL99" s="328"/>
      <c r="AM99" s="322"/>
      <c r="AN99" s="323"/>
      <c r="AO99" s="323"/>
      <c r="AP99" s="324"/>
      <c r="AQ99" s="324"/>
      <c r="AR99" s="324"/>
      <c r="AS99" s="324"/>
      <c r="AT99" s="325"/>
      <c r="AU99" s="325"/>
      <c r="AV99" s="325"/>
      <c r="AW99" s="326"/>
      <c r="AX99" s="332">
        <f t="shared" ref="AX99" si="75">SUM(AL99:AW99)</f>
        <v>0</v>
      </c>
      <c r="AY99" s="333">
        <f t="shared" ref="AY99" si="76">AK99-AX99</f>
        <v>1092000</v>
      </c>
    </row>
    <row r="100" spans="1:51" s="330" customFormat="1" ht="15" customHeight="1" x14ac:dyDescent="0.25">
      <c r="A100" s="306"/>
      <c r="B100" s="307"/>
      <c r="C100" s="307"/>
      <c r="D100" s="308"/>
      <c r="E100" s="308"/>
      <c r="F100" s="308"/>
      <c r="G100" s="307"/>
      <c r="H100" s="311"/>
      <c r="I100" s="312"/>
      <c r="J100" s="331" t="s">
        <v>818</v>
      </c>
      <c r="K100" s="314"/>
      <c r="L100" s="315"/>
      <c r="M100" s="316"/>
      <c r="N100" s="316"/>
      <c r="O100" s="316"/>
      <c r="P100" s="316"/>
      <c r="Q100" s="316"/>
      <c r="R100" s="316">
        <v>12</v>
      </c>
      <c r="S100" s="316" t="s">
        <v>580</v>
      </c>
      <c r="T100" s="317">
        <f t="shared" si="73"/>
        <v>12</v>
      </c>
      <c r="U100" s="317" t="s">
        <v>580</v>
      </c>
      <c r="V100" s="318">
        <v>42000</v>
      </c>
      <c r="W100" s="484">
        <f>V100*T100</f>
        <v>504000</v>
      </c>
      <c r="X100" s="320" t="s">
        <v>566</v>
      </c>
      <c r="Y100" s="321"/>
      <c r="Z100" s="322"/>
      <c r="AA100" s="323"/>
      <c r="AB100" s="323"/>
      <c r="AC100" s="324"/>
      <c r="AD100" s="324"/>
      <c r="AE100" s="324">
        <v>420000</v>
      </c>
      <c r="AF100" s="324"/>
      <c r="AG100" s="325"/>
      <c r="AH100" s="325"/>
      <c r="AI100" s="325"/>
      <c r="AJ100" s="326"/>
      <c r="AK100" s="332">
        <f t="shared" si="74"/>
        <v>420000</v>
      </c>
      <c r="AL100" s="328"/>
      <c r="AM100" s="322"/>
      <c r="AN100" s="323"/>
      <c r="AO100" s="323"/>
      <c r="AP100" s="324"/>
      <c r="AQ100" s="324"/>
      <c r="AR100" s="324"/>
      <c r="AS100" s="324"/>
      <c r="AT100" s="325"/>
      <c r="AU100" s="325"/>
      <c r="AV100" s="325"/>
      <c r="AW100" s="326"/>
      <c r="AX100" s="332"/>
      <c r="AY100" s="333"/>
    </row>
    <row r="101" spans="1:51" s="330" customFormat="1" ht="15" customHeight="1" x14ac:dyDescent="0.25">
      <c r="A101" s="306"/>
      <c r="B101" s="307"/>
      <c r="C101" s="307"/>
      <c r="D101" s="308"/>
      <c r="E101" s="308"/>
      <c r="F101" s="308"/>
      <c r="G101" s="307"/>
      <c r="H101" s="311"/>
      <c r="I101" s="312"/>
      <c r="J101" s="331"/>
      <c r="K101" s="314"/>
      <c r="L101" s="315"/>
      <c r="M101" s="316"/>
      <c r="N101" s="316"/>
      <c r="O101" s="316"/>
      <c r="P101" s="316"/>
      <c r="Q101" s="316"/>
      <c r="R101" s="316"/>
      <c r="S101" s="316"/>
      <c r="T101" s="317"/>
      <c r="U101" s="317"/>
      <c r="V101" s="318"/>
      <c r="W101" s="319"/>
      <c r="X101" s="320"/>
      <c r="Y101" s="321"/>
      <c r="Z101" s="322"/>
      <c r="AA101" s="323"/>
      <c r="AB101" s="323"/>
      <c r="AC101" s="324"/>
      <c r="AD101" s="324"/>
      <c r="AE101" s="324"/>
      <c r="AF101" s="324"/>
      <c r="AG101" s="325"/>
      <c r="AH101" s="325"/>
      <c r="AI101" s="325"/>
      <c r="AJ101" s="326"/>
      <c r="AK101" s="332"/>
      <c r="AL101" s="328"/>
      <c r="AM101" s="322"/>
      <c r="AN101" s="323"/>
      <c r="AO101" s="323"/>
      <c r="AP101" s="324"/>
      <c r="AQ101" s="324"/>
      <c r="AR101" s="324"/>
      <c r="AS101" s="324"/>
      <c r="AT101" s="325"/>
      <c r="AU101" s="325"/>
      <c r="AV101" s="325"/>
      <c r="AW101" s="326"/>
      <c r="AX101" s="332"/>
      <c r="AY101" s="333"/>
    </row>
    <row r="102" spans="1:51" s="330" customFormat="1" ht="15" customHeight="1" x14ac:dyDescent="0.25">
      <c r="A102" s="306"/>
      <c r="B102" s="307" t="s">
        <v>59</v>
      </c>
      <c r="C102" s="307" t="s">
        <v>50</v>
      </c>
      <c r="D102" s="309" t="s">
        <v>67</v>
      </c>
      <c r="E102" s="309" t="s">
        <v>65</v>
      </c>
      <c r="F102" s="308" t="s">
        <v>65</v>
      </c>
      <c r="G102" s="310" t="s">
        <v>611</v>
      </c>
      <c r="H102" s="311"/>
      <c r="I102" s="312"/>
      <c r="J102" s="331" t="s">
        <v>612</v>
      </c>
      <c r="K102" s="314"/>
      <c r="L102" s="315"/>
      <c r="M102" s="316"/>
      <c r="N102" s="316"/>
      <c r="O102" s="316"/>
      <c r="P102" s="316"/>
      <c r="Q102" s="316"/>
      <c r="R102" s="316"/>
      <c r="S102" s="316"/>
      <c r="T102" s="317"/>
      <c r="U102" s="317"/>
      <c r="V102" s="318"/>
      <c r="W102" s="319">
        <f>SUM(W103:W108)</f>
        <v>2443655</v>
      </c>
      <c r="X102" s="320"/>
      <c r="Y102" s="321"/>
      <c r="Z102" s="322"/>
      <c r="AA102" s="323"/>
      <c r="AB102" s="323"/>
      <c r="AC102" s="324"/>
      <c r="AD102" s="324"/>
      <c r="AE102" s="324"/>
      <c r="AF102" s="324"/>
      <c r="AG102" s="325"/>
      <c r="AH102" s="325"/>
      <c r="AI102" s="325"/>
      <c r="AJ102" s="326"/>
      <c r="AK102" s="332"/>
      <c r="AL102" s="328"/>
      <c r="AM102" s="322"/>
      <c r="AN102" s="323"/>
      <c r="AO102" s="323"/>
      <c r="AP102" s="324"/>
      <c r="AQ102" s="324"/>
      <c r="AR102" s="324"/>
      <c r="AS102" s="324"/>
      <c r="AT102" s="325"/>
      <c r="AU102" s="325"/>
      <c r="AV102" s="325"/>
      <c r="AW102" s="326"/>
      <c r="AX102" s="332"/>
      <c r="AY102" s="333"/>
    </row>
    <row r="103" spans="1:51" s="330" customFormat="1" ht="15" customHeight="1" x14ac:dyDescent="0.25">
      <c r="A103" s="306"/>
      <c r="B103" s="307"/>
      <c r="C103" s="307"/>
      <c r="D103" s="308"/>
      <c r="E103" s="308"/>
      <c r="F103" s="308"/>
      <c r="G103" s="307"/>
      <c r="H103" s="311"/>
      <c r="I103" s="312"/>
      <c r="J103" s="331" t="s">
        <v>819</v>
      </c>
      <c r="K103" s="314"/>
      <c r="L103" s="315"/>
      <c r="M103" s="316"/>
      <c r="N103" s="316"/>
      <c r="O103" s="316"/>
      <c r="P103" s="316"/>
      <c r="Q103" s="316"/>
      <c r="R103" s="316">
        <v>6</v>
      </c>
      <c r="S103" s="316" t="s">
        <v>613</v>
      </c>
      <c r="T103" s="317">
        <f t="shared" ref="T103:T104" si="77">R103</f>
        <v>6</v>
      </c>
      <c r="U103" s="317" t="s">
        <v>613</v>
      </c>
      <c r="V103" s="318">
        <v>37000</v>
      </c>
      <c r="W103" s="484">
        <f t="shared" ref="W103:W108" si="78">V103*T103</f>
        <v>222000</v>
      </c>
      <c r="X103" s="320" t="s">
        <v>566</v>
      </c>
      <c r="Y103" s="321">
        <f>W103</f>
        <v>222000</v>
      </c>
      <c r="Z103" s="322"/>
      <c r="AA103" s="323"/>
      <c r="AB103" s="323"/>
      <c r="AC103" s="324"/>
      <c r="AD103" s="324"/>
      <c r="AE103" s="324"/>
      <c r="AF103" s="324"/>
      <c r="AG103" s="325"/>
      <c r="AH103" s="325"/>
      <c r="AI103" s="325"/>
      <c r="AJ103" s="326"/>
      <c r="AK103" s="332">
        <f t="shared" ref="AK103:AK107" si="79">SUM(Y103:AJ103)</f>
        <v>222000</v>
      </c>
      <c r="AL103" s="328"/>
      <c r="AM103" s="322"/>
      <c r="AN103" s="323"/>
      <c r="AO103" s="323"/>
      <c r="AP103" s="324"/>
      <c r="AQ103" s="324"/>
      <c r="AR103" s="324"/>
      <c r="AS103" s="324"/>
      <c r="AT103" s="325"/>
      <c r="AU103" s="325"/>
      <c r="AV103" s="325"/>
      <c r="AW103" s="326"/>
      <c r="AX103" s="332">
        <f t="shared" ref="AX103" si="80">SUM(AL103:AW103)</f>
        <v>0</v>
      </c>
      <c r="AY103" s="333">
        <f t="shared" ref="AY103" si="81">AK103-AX103</f>
        <v>222000</v>
      </c>
    </row>
    <row r="104" spans="1:51" s="330" customFormat="1" ht="15" customHeight="1" x14ac:dyDescent="0.25">
      <c r="A104" s="306"/>
      <c r="B104" s="307"/>
      <c r="C104" s="307"/>
      <c r="D104" s="308"/>
      <c r="E104" s="308"/>
      <c r="F104" s="308"/>
      <c r="G104" s="307"/>
      <c r="H104" s="311"/>
      <c r="I104" s="312"/>
      <c r="J104" s="331" t="s">
        <v>820</v>
      </c>
      <c r="K104" s="314"/>
      <c r="L104" s="315"/>
      <c r="M104" s="316"/>
      <c r="N104" s="316"/>
      <c r="O104" s="316"/>
      <c r="P104" s="316"/>
      <c r="Q104" s="316"/>
      <c r="R104" s="316">
        <v>25</v>
      </c>
      <c r="S104" s="316" t="s">
        <v>584</v>
      </c>
      <c r="T104" s="317">
        <f t="shared" si="77"/>
        <v>25</v>
      </c>
      <c r="U104" s="317" t="s">
        <v>584</v>
      </c>
      <c r="V104" s="318">
        <v>11100</v>
      </c>
      <c r="W104" s="484">
        <f t="shared" si="78"/>
        <v>277500</v>
      </c>
      <c r="X104" s="320" t="s">
        <v>566</v>
      </c>
      <c r="Y104" s="321"/>
      <c r="Z104" s="322"/>
      <c r="AA104" s="323"/>
      <c r="AB104" s="323">
        <v>133200</v>
      </c>
      <c r="AC104" s="324"/>
      <c r="AD104" s="324"/>
      <c r="AE104" s="324"/>
      <c r="AF104" s="324"/>
      <c r="AG104" s="325">
        <v>133200</v>
      </c>
      <c r="AH104" s="325"/>
      <c r="AI104" s="325"/>
      <c r="AJ104" s="326"/>
      <c r="AK104" s="332">
        <f t="shared" si="79"/>
        <v>266400</v>
      </c>
      <c r="AL104" s="328"/>
      <c r="AM104" s="322"/>
      <c r="AN104" s="323"/>
      <c r="AO104" s="323"/>
      <c r="AP104" s="324"/>
      <c r="AQ104" s="324"/>
      <c r="AR104" s="324"/>
      <c r="AS104" s="324"/>
      <c r="AT104" s="325"/>
      <c r="AU104" s="325"/>
      <c r="AV104" s="325"/>
      <c r="AW104" s="326"/>
      <c r="AX104" s="332">
        <f t="shared" ref="AX104" si="82">SUM(AL104:AW104)</f>
        <v>0</v>
      </c>
      <c r="AY104" s="333">
        <f t="shared" ref="AY104" si="83">AK104-AX104</f>
        <v>266400</v>
      </c>
    </row>
    <row r="105" spans="1:51" s="330" customFormat="1" ht="15" customHeight="1" x14ac:dyDescent="0.25">
      <c r="A105" s="306"/>
      <c r="B105" s="307"/>
      <c r="C105" s="307"/>
      <c r="D105" s="308"/>
      <c r="E105" s="308"/>
      <c r="F105" s="308"/>
      <c r="G105" s="307"/>
      <c r="H105" s="311"/>
      <c r="I105" s="312"/>
      <c r="J105" s="331" t="s">
        <v>891</v>
      </c>
      <c r="K105" s="314"/>
      <c r="L105" s="315"/>
      <c r="M105" s="316"/>
      <c r="N105" s="316"/>
      <c r="O105" s="316"/>
      <c r="P105" s="316"/>
      <c r="Q105" s="316"/>
      <c r="R105" s="316">
        <v>25</v>
      </c>
      <c r="S105" s="316" t="s">
        <v>614</v>
      </c>
      <c r="T105" s="317">
        <f t="shared" ref="T105:T106" si="84">R105</f>
        <v>25</v>
      </c>
      <c r="U105" s="317" t="s">
        <v>614</v>
      </c>
      <c r="V105" s="318">
        <v>52000</v>
      </c>
      <c r="W105" s="484">
        <f t="shared" si="78"/>
        <v>1300000</v>
      </c>
      <c r="X105" s="320" t="s">
        <v>566</v>
      </c>
      <c r="Y105" s="321"/>
      <c r="Z105" s="322"/>
      <c r="AA105" s="323"/>
      <c r="AB105" s="323">
        <v>333000</v>
      </c>
      <c r="AC105" s="324"/>
      <c r="AD105" s="324"/>
      <c r="AE105" s="324"/>
      <c r="AF105" s="324"/>
      <c r="AG105" s="325"/>
      <c r="AH105" s="325"/>
      <c r="AI105" s="325"/>
      <c r="AJ105" s="326"/>
      <c r="AK105" s="332">
        <f t="shared" si="79"/>
        <v>333000</v>
      </c>
      <c r="AL105" s="328"/>
      <c r="AM105" s="322"/>
      <c r="AN105" s="323"/>
      <c r="AO105" s="323"/>
      <c r="AP105" s="324"/>
      <c r="AQ105" s="324"/>
      <c r="AR105" s="324"/>
      <c r="AS105" s="324"/>
      <c r="AT105" s="325"/>
      <c r="AU105" s="325"/>
      <c r="AV105" s="325"/>
      <c r="AW105" s="326"/>
      <c r="AX105" s="332">
        <f t="shared" ref="AX105" si="85">SUM(AL105:AW105)</f>
        <v>0</v>
      </c>
      <c r="AY105" s="333">
        <f t="shared" ref="AY105" si="86">AK105-AX105</f>
        <v>333000</v>
      </c>
    </row>
    <row r="106" spans="1:51" s="330" customFormat="1" ht="15" customHeight="1" x14ac:dyDescent="0.25">
      <c r="A106" s="306"/>
      <c r="B106" s="307"/>
      <c r="C106" s="307"/>
      <c r="D106" s="308"/>
      <c r="E106" s="308"/>
      <c r="F106" s="308"/>
      <c r="G106" s="307"/>
      <c r="H106" s="311"/>
      <c r="I106" s="312"/>
      <c r="J106" s="331" t="s">
        <v>821</v>
      </c>
      <c r="K106" s="314"/>
      <c r="L106" s="315"/>
      <c r="M106" s="316"/>
      <c r="N106" s="316"/>
      <c r="O106" s="316"/>
      <c r="P106" s="316"/>
      <c r="Q106" s="316"/>
      <c r="R106" s="316">
        <v>5</v>
      </c>
      <c r="S106" s="316" t="s">
        <v>580</v>
      </c>
      <c r="T106" s="317">
        <f t="shared" si="84"/>
        <v>5</v>
      </c>
      <c r="U106" s="317" t="s">
        <v>580</v>
      </c>
      <c r="V106" s="318">
        <v>30831</v>
      </c>
      <c r="W106" s="484">
        <f t="shared" si="78"/>
        <v>154155</v>
      </c>
      <c r="X106" s="320" t="s">
        <v>566</v>
      </c>
      <c r="Y106" s="321"/>
      <c r="Z106" s="322"/>
      <c r="AA106" s="323"/>
      <c r="AB106" s="323">
        <v>366360</v>
      </c>
      <c r="AC106" s="324"/>
      <c r="AD106" s="324"/>
      <c r="AE106" s="324"/>
      <c r="AF106" s="324"/>
      <c r="AG106" s="325">
        <v>366360</v>
      </c>
      <c r="AH106" s="325"/>
      <c r="AI106" s="325"/>
      <c r="AJ106" s="326"/>
      <c r="AK106" s="332">
        <f t="shared" si="79"/>
        <v>732720</v>
      </c>
      <c r="AL106" s="328"/>
      <c r="AM106" s="322"/>
      <c r="AN106" s="323"/>
      <c r="AO106" s="323"/>
      <c r="AP106" s="324"/>
      <c r="AQ106" s="324"/>
      <c r="AR106" s="324"/>
      <c r="AS106" s="324"/>
      <c r="AT106" s="325"/>
      <c r="AU106" s="325"/>
      <c r="AV106" s="325"/>
      <c r="AW106" s="326"/>
      <c r="AX106" s="332">
        <f t="shared" ref="AX106" si="87">SUM(AL106:AW106)</f>
        <v>0</v>
      </c>
      <c r="AY106" s="333">
        <f t="shared" ref="AY106" si="88">AK106-AX106</f>
        <v>732720</v>
      </c>
    </row>
    <row r="107" spans="1:51" s="330" customFormat="1" ht="15" customHeight="1" x14ac:dyDescent="0.25">
      <c r="A107" s="306"/>
      <c r="B107" s="307"/>
      <c r="C107" s="307"/>
      <c r="D107" s="308"/>
      <c r="E107" s="308"/>
      <c r="F107" s="308"/>
      <c r="G107" s="307"/>
      <c r="H107" s="311"/>
      <c r="I107" s="312"/>
      <c r="J107" s="331" t="s">
        <v>615</v>
      </c>
      <c r="K107" s="314"/>
      <c r="L107" s="315"/>
      <c r="M107" s="316"/>
      <c r="N107" s="316"/>
      <c r="O107" s="316"/>
      <c r="P107" s="316"/>
      <c r="Q107" s="316"/>
      <c r="R107" s="316">
        <v>25</v>
      </c>
      <c r="S107" s="316" t="s">
        <v>580</v>
      </c>
      <c r="T107" s="317">
        <f t="shared" ref="T107:T108" si="89">R107</f>
        <v>25</v>
      </c>
      <c r="U107" s="317" t="s">
        <v>580</v>
      </c>
      <c r="V107" s="318">
        <v>14000</v>
      </c>
      <c r="W107" s="484">
        <f t="shared" si="78"/>
        <v>350000</v>
      </c>
      <c r="X107" s="320" t="s">
        <v>566</v>
      </c>
      <c r="Y107" s="321"/>
      <c r="Z107" s="322"/>
      <c r="AA107" s="323"/>
      <c r="AB107" s="323">
        <v>333120</v>
      </c>
      <c r="AC107" s="324"/>
      <c r="AD107" s="324"/>
      <c r="AE107" s="324"/>
      <c r="AF107" s="324"/>
      <c r="AG107" s="325"/>
      <c r="AH107" s="325"/>
      <c r="AI107" s="325"/>
      <c r="AJ107" s="326"/>
      <c r="AK107" s="332">
        <f t="shared" si="79"/>
        <v>333120</v>
      </c>
      <c r="AL107" s="328"/>
      <c r="AM107" s="322"/>
      <c r="AN107" s="323"/>
      <c r="AO107" s="323"/>
      <c r="AP107" s="324"/>
      <c r="AQ107" s="324"/>
      <c r="AR107" s="324"/>
      <c r="AS107" s="324"/>
      <c r="AT107" s="325"/>
      <c r="AU107" s="325"/>
      <c r="AV107" s="325"/>
      <c r="AW107" s="326"/>
      <c r="AX107" s="332">
        <f t="shared" ref="AX107" si="90">SUM(AL107:AW107)</f>
        <v>0</v>
      </c>
      <c r="AY107" s="333">
        <f t="shared" ref="AY107" si="91">AK107-AX107</f>
        <v>333120</v>
      </c>
    </row>
    <row r="108" spans="1:51" s="330" customFormat="1" ht="15" customHeight="1" x14ac:dyDescent="0.25">
      <c r="A108" s="306"/>
      <c r="B108" s="307"/>
      <c r="C108" s="307"/>
      <c r="D108" s="308"/>
      <c r="E108" s="308"/>
      <c r="F108" s="308"/>
      <c r="G108" s="307"/>
      <c r="H108" s="311"/>
      <c r="I108" s="312"/>
      <c r="J108" s="331" t="s">
        <v>892</v>
      </c>
      <c r="K108" s="314"/>
      <c r="L108" s="315"/>
      <c r="M108" s="316"/>
      <c r="N108" s="316"/>
      <c r="O108" s="316"/>
      <c r="P108" s="316"/>
      <c r="Q108" s="316"/>
      <c r="R108" s="316">
        <v>20</v>
      </c>
      <c r="S108" s="316" t="s">
        <v>580</v>
      </c>
      <c r="T108" s="317">
        <f t="shared" si="89"/>
        <v>20</v>
      </c>
      <c r="U108" s="317" t="s">
        <v>580</v>
      </c>
      <c r="V108" s="318">
        <v>7000</v>
      </c>
      <c r="W108" s="319">
        <f t="shared" si="78"/>
        <v>140000</v>
      </c>
      <c r="X108" s="320" t="s">
        <v>566</v>
      </c>
      <c r="Y108" s="321"/>
      <c r="Z108" s="322"/>
      <c r="AA108" s="323"/>
      <c r="AB108" s="323"/>
      <c r="AC108" s="324"/>
      <c r="AD108" s="324"/>
      <c r="AE108" s="324"/>
      <c r="AF108" s="324"/>
      <c r="AG108" s="325"/>
      <c r="AH108" s="325"/>
      <c r="AI108" s="325"/>
      <c r="AJ108" s="326"/>
      <c r="AK108" s="332"/>
      <c r="AL108" s="328"/>
      <c r="AM108" s="322"/>
      <c r="AN108" s="323"/>
      <c r="AO108" s="323"/>
      <c r="AP108" s="324"/>
      <c r="AQ108" s="324"/>
      <c r="AR108" s="324"/>
      <c r="AS108" s="324"/>
      <c r="AT108" s="325"/>
      <c r="AU108" s="325"/>
      <c r="AV108" s="325"/>
      <c r="AW108" s="326"/>
      <c r="AX108" s="332"/>
      <c r="AY108" s="333"/>
    </row>
    <row r="109" spans="1:51" s="305" customFormat="1" ht="15" customHeight="1" x14ac:dyDescent="0.25">
      <c r="A109" s="269"/>
      <c r="B109" s="270" t="s">
        <v>59</v>
      </c>
      <c r="C109" s="270" t="s">
        <v>50</v>
      </c>
      <c r="D109" s="288" t="s">
        <v>67</v>
      </c>
      <c r="E109" s="288" t="s">
        <v>693</v>
      </c>
      <c r="F109" s="271"/>
      <c r="G109" s="270"/>
      <c r="H109" s="273"/>
      <c r="I109" s="289"/>
      <c r="J109" s="283" t="s">
        <v>694</v>
      </c>
      <c r="K109" s="290"/>
      <c r="L109" s="291"/>
      <c r="M109" s="292"/>
      <c r="N109" s="292"/>
      <c r="O109" s="292"/>
      <c r="P109" s="292"/>
      <c r="Q109" s="292"/>
      <c r="R109" s="292"/>
      <c r="S109" s="292"/>
      <c r="T109" s="293"/>
      <c r="U109" s="293"/>
      <c r="V109" s="294"/>
      <c r="W109" s="295">
        <f>W110+W127</f>
        <v>9994600</v>
      </c>
      <c r="X109" s="296"/>
      <c r="Y109" s="297"/>
      <c r="Z109" s="259"/>
      <c r="AA109" s="298"/>
      <c r="AB109" s="298"/>
      <c r="AC109" s="299"/>
      <c r="AD109" s="299"/>
      <c r="AE109" s="299"/>
      <c r="AF109" s="299"/>
      <c r="AG109" s="300"/>
      <c r="AH109" s="300"/>
      <c r="AI109" s="300"/>
      <c r="AJ109" s="301"/>
      <c r="AK109" s="335"/>
      <c r="AL109" s="303"/>
      <c r="AM109" s="259"/>
      <c r="AN109" s="298"/>
      <c r="AO109" s="298"/>
      <c r="AP109" s="299"/>
      <c r="AQ109" s="299"/>
      <c r="AR109" s="299"/>
      <c r="AS109" s="299"/>
      <c r="AT109" s="300"/>
      <c r="AU109" s="300"/>
      <c r="AV109" s="300"/>
      <c r="AW109" s="301"/>
      <c r="AX109" s="335"/>
      <c r="AY109" s="336"/>
    </row>
    <row r="110" spans="1:51" s="305" customFormat="1" ht="15" customHeight="1" x14ac:dyDescent="0.25">
      <c r="A110" s="269"/>
      <c r="B110" s="270" t="s">
        <v>59</v>
      </c>
      <c r="C110" s="270" t="s">
        <v>50</v>
      </c>
      <c r="D110" s="288" t="s">
        <v>67</v>
      </c>
      <c r="E110" s="288" t="s">
        <v>693</v>
      </c>
      <c r="F110" s="288" t="s">
        <v>67</v>
      </c>
      <c r="G110" s="270"/>
      <c r="H110" s="273"/>
      <c r="I110" s="289"/>
      <c r="J110" s="283" t="s">
        <v>702</v>
      </c>
      <c r="K110" s="290"/>
      <c r="L110" s="291"/>
      <c r="M110" s="292"/>
      <c r="N110" s="292"/>
      <c r="O110" s="292"/>
      <c r="P110" s="292"/>
      <c r="Q110" s="292"/>
      <c r="R110" s="292"/>
      <c r="S110" s="292"/>
      <c r="T110" s="293"/>
      <c r="U110" s="293"/>
      <c r="V110" s="294"/>
      <c r="W110" s="295">
        <f>W111+W118+W124</f>
        <v>7800000</v>
      </c>
      <c r="X110" s="296"/>
      <c r="Y110" s="297"/>
      <c r="Z110" s="259"/>
      <c r="AA110" s="298"/>
      <c r="AB110" s="298"/>
      <c r="AC110" s="299"/>
      <c r="AD110" s="299"/>
      <c r="AE110" s="299"/>
      <c r="AF110" s="299"/>
      <c r="AG110" s="300"/>
      <c r="AH110" s="300"/>
      <c r="AI110" s="300"/>
      <c r="AJ110" s="301"/>
      <c r="AK110" s="335"/>
      <c r="AL110" s="303"/>
      <c r="AM110" s="259"/>
      <c r="AN110" s="298"/>
      <c r="AO110" s="298"/>
      <c r="AP110" s="299"/>
      <c r="AQ110" s="299"/>
      <c r="AR110" s="299"/>
      <c r="AS110" s="299"/>
      <c r="AT110" s="300"/>
      <c r="AU110" s="300"/>
      <c r="AV110" s="300"/>
      <c r="AW110" s="301"/>
      <c r="AX110" s="335"/>
      <c r="AY110" s="336"/>
    </row>
    <row r="111" spans="1:51" s="330" customFormat="1" ht="15" customHeight="1" x14ac:dyDescent="0.25">
      <c r="A111" s="306"/>
      <c r="B111" s="307" t="s">
        <v>59</v>
      </c>
      <c r="C111" s="307" t="s">
        <v>50</v>
      </c>
      <c r="D111" s="309" t="s">
        <v>67</v>
      </c>
      <c r="E111" s="309" t="s">
        <v>693</v>
      </c>
      <c r="F111" s="309" t="s">
        <v>67</v>
      </c>
      <c r="G111" s="307" t="s">
        <v>703</v>
      </c>
      <c r="H111" s="311"/>
      <c r="I111" s="312"/>
      <c r="J111" s="331" t="s">
        <v>704</v>
      </c>
      <c r="K111" s="314"/>
      <c r="L111" s="315"/>
      <c r="M111" s="316"/>
      <c r="N111" s="316"/>
      <c r="O111" s="316"/>
      <c r="P111" s="316"/>
      <c r="Q111" s="316"/>
      <c r="R111" s="316"/>
      <c r="S111" s="316"/>
      <c r="T111" s="317"/>
      <c r="U111" s="317"/>
      <c r="V111" s="318"/>
      <c r="W111" s="319">
        <f>W112+W113</f>
        <v>1700000</v>
      </c>
      <c r="X111" s="320"/>
      <c r="Y111" s="321"/>
      <c r="Z111" s="322"/>
      <c r="AA111" s="323"/>
      <c r="AB111" s="323"/>
      <c r="AC111" s="324"/>
      <c r="AD111" s="324"/>
      <c r="AE111" s="324"/>
      <c r="AF111" s="324"/>
      <c r="AG111" s="325"/>
      <c r="AH111" s="325"/>
      <c r="AI111" s="325"/>
      <c r="AJ111" s="326"/>
      <c r="AK111" s="332"/>
      <c r="AL111" s="328"/>
      <c r="AM111" s="322"/>
      <c r="AN111" s="323"/>
      <c r="AO111" s="323"/>
      <c r="AP111" s="324"/>
      <c r="AQ111" s="324"/>
      <c r="AR111" s="324"/>
      <c r="AS111" s="324"/>
      <c r="AT111" s="325"/>
      <c r="AU111" s="325"/>
      <c r="AV111" s="325"/>
      <c r="AW111" s="326"/>
      <c r="AX111" s="332"/>
      <c r="AY111" s="333"/>
    </row>
    <row r="112" spans="1:51" s="330" customFormat="1" ht="15" customHeight="1" x14ac:dyDescent="0.25">
      <c r="A112" s="306"/>
      <c r="B112" s="307"/>
      <c r="C112" s="307"/>
      <c r="D112" s="309"/>
      <c r="E112" s="309"/>
      <c r="F112" s="308"/>
      <c r="G112" s="307"/>
      <c r="H112" s="311"/>
      <c r="I112" s="312"/>
      <c r="J112" s="331" t="s">
        <v>833</v>
      </c>
      <c r="K112" s="314"/>
      <c r="L112" s="315"/>
      <c r="M112" s="316"/>
      <c r="N112" s="316"/>
      <c r="O112" s="316"/>
      <c r="P112" s="316"/>
      <c r="Q112" s="316"/>
      <c r="R112" s="316">
        <v>2</v>
      </c>
      <c r="S112" s="316" t="s">
        <v>626</v>
      </c>
      <c r="T112" s="317">
        <f t="shared" ref="T112" si="92">R112</f>
        <v>2</v>
      </c>
      <c r="U112" s="317" t="s">
        <v>626</v>
      </c>
      <c r="V112" s="318">
        <v>600000</v>
      </c>
      <c r="W112" s="484">
        <f>V112*T112</f>
        <v>1200000</v>
      </c>
      <c r="X112" s="320" t="s">
        <v>649</v>
      </c>
      <c r="Y112" s="321"/>
      <c r="Z112" s="322"/>
      <c r="AA112" s="323"/>
      <c r="AB112" s="323"/>
      <c r="AC112" s="324"/>
      <c r="AD112" s="324"/>
      <c r="AE112" s="324"/>
      <c r="AF112" s="324"/>
      <c r="AG112" s="325"/>
      <c r="AH112" s="325"/>
      <c r="AI112" s="325"/>
      <c r="AJ112" s="326"/>
      <c r="AK112" s="332">
        <f t="shared" ref="AK112" si="93">SUM(Y112:AJ112)</f>
        <v>0</v>
      </c>
      <c r="AL112" s="328"/>
      <c r="AM112" s="322"/>
      <c r="AN112" s="323"/>
      <c r="AO112" s="323"/>
      <c r="AP112" s="324"/>
      <c r="AQ112" s="324"/>
      <c r="AR112" s="324"/>
      <c r="AS112" s="324"/>
      <c r="AT112" s="325"/>
      <c r="AU112" s="325"/>
      <c r="AV112" s="325"/>
      <c r="AW112" s="326"/>
      <c r="AX112" s="332">
        <f t="shared" ref="AX112" si="94">SUM(AL112:AW112)</f>
        <v>0</v>
      </c>
      <c r="AY112" s="333">
        <f t="shared" ref="AY112" si="95">AK112-AX112</f>
        <v>0</v>
      </c>
    </row>
    <row r="113" spans="1:51" s="330" customFormat="1" ht="15" customHeight="1" x14ac:dyDescent="0.25">
      <c r="A113" s="306"/>
      <c r="B113" s="307"/>
      <c r="C113" s="307"/>
      <c r="D113" s="309"/>
      <c r="E113" s="309"/>
      <c r="F113" s="308"/>
      <c r="G113" s="307"/>
      <c r="H113" s="311"/>
      <c r="I113" s="312"/>
      <c r="J113" s="331" t="s">
        <v>871</v>
      </c>
      <c r="K113" s="314"/>
      <c r="L113" s="315"/>
      <c r="M113" s="316"/>
      <c r="N113" s="316"/>
      <c r="O113" s="316"/>
      <c r="P113" s="316"/>
      <c r="Q113" s="316"/>
      <c r="R113" s="316">
        <v>1</v>
      </c>
      <c r="S113" s="316" t="s">
        <v>626</v>
      </c>
      <c r="T113" s="317">
        <f t="shared" ref="T113" si="96">R113</f>
        <v>1</v>
      </c>
      <c r="U113" s="317" t="s">
        <v>626</v>
      </c>
      <c r="V113" s="318">
        <v>500000</v>
      </c>
      <c r="W113" s="484">
        <f>V113*T113</f>
        <v>500000</v>
      </c>
      <c r="X113" s="320" t="s">
        <v>649</v>
      </c>
      <c r="Y113" s="321"/>
      <c r="Z113" s="322"/>
      <c r="AA113" s="323"/>
      <c r="AB113" s="323"/>
      <c r="AC113" s="324"/>
      <c r="AD113" s="324"/>
      <c r="AE113" s="324"/>
      <c r="AF113" s="324"/>
      <c r="AG113" s="325"/>
      <c r="AH113" s="325"/>
      <c r="AI113" s="325"/>
      <c r="AJ113" s="326"/>
      <c r="AK113" s="332"/>
      <c r="AL113" s="328"/>
      <c r="AM113" s="322"/>
      <c r="AN113" s="323"/>
      <c r="AO113" s="323"/>
      <c r="AP113" s="324"/>
      <c r="AQ113" s="324"/>
      <c r="AR113" s="324"/>
      <c r="AS113" s="324"/>
      <c r="AT113" s="325"/>
      <c r="AU113" s="325"/>
      <c r="AV113" s="325"/>
      <c r="AW113" s="326"/>
      <c r="AX113" s="332"/>
      <c r="AY113" s="333"/>
    </row>
    <row r="114" spans="1:51" s="330" customFormat="1" ht="15" customHeight="1" x14ac:dyDescent="0.25">
      <c r="A114" s="306"/>
      <c r="B114" s="307"/>
      <c r="C114" s="307"/>
      <c r="D114" s="309"/>
      <c r="E114" s="309"/>
      <c r="F114" s="308"/>
      <c r="G114" s="307"/>
      <c r="H114" s="311"/>
      <c r="I114" s="312"/>
      <c r="J114" s="331"/>
      <c r="K114" s="314"/>
      <c r="L114" s="315"/>
      <c r="M114" s="316"/>
      <c r="N114" s="316"/>
      <c r="O114" s="316"/>
      <c r="P114" s="316"/>
      <c r="Q114" s="316"/>
      <c r="R114" s="316"/>
      <c r="S114" s="316"/>
      <c r="T114" s="317"/>
      <c r="U114" s="317"/>
      <c r="V114" s="318"/>
      <c r="W114" s="484"/>
      <c r="X114" s="320"/>
      <c r="Y114" s="321"/>
      <c r="Z114" s="322"/>
      <c r="AA114" s="323"/>
      <c r="AB114" s="323"/>
      <c r="AC114" s="324"/>
      <c r="AD114" s="324"/>
      <c r="AE114" s="324"/>
      <c r="AF114" s="324"/>
      <c r="AG114" s="325"/>
      <c r="AH114" s="325"/>
      <c r="AI114" s="325"/>
      <c r="AJ114" s="326"/>
      <c r="AK114" s="332"/>
      <c r="AL114" s="328"/>
      <c r="AM114" s="322"/>
      <c r="AN114" s="323"/>
      <c r="AO114" s="323"/>
      <c r="AP114" s="324"/>
      <c r="AQ114" s="324"/>
      <c r="AR114" s="324"/>
      <c r="AS114" s="324"/>
      <c r="AT114" s="325"/>
      <c r="AU114" s="325"/>
      <c r="AV114" s="325"/>
      <c r="AW114" s="326"/>
      <c r="AX114" s="332"/>
      <c r="AY114" s="333"/>
    </row>
    <row r="115" spans="1:51" s="330" customFormat="1" ht="15" customHeight="1" x14ac:dyDescent="0.25">
      <c r="A115" s="306"/>
      <c r="B115" s="307" t="s">
        <v>59</v>
      </c>
      <c r="C115" s="307" t="s">
        <v>50</v>
      </c>
      <c r="D115" s="309" t="s">
        <v>67</v>
      </c>
      <c r="E115" s="309"/>
      <c r="F115" s="309"/>
      <c r="G115" s="307"/>
      <c r="H115" s="311"/>
      <c r="I115" s="312"/>
      <c r="J115" s="331"/>
      <c r="K115" s="314"/>
      <c r="L115" s="315"/>
      <c r="M115" s="316"/>
      <c r="N115" s="316"/>
      <c r="O115" s="316"/>
      <c r="P115" s="316"/>
      <c r="Q115" s="316"/>
      <c r="R115" s="316"/>
      <c r="S115" s="316"/>
      <c r="T115" s="317"/>
      <c r="U115" s="317"/>
      <c r="V115" s="318"/>
      <c r="W115" s="319"/>
      <c r="X115" s="320"/>
      <c r="Y115" s="321"/>
      <c r="Z115" s="322"/>
      <c r="AA115" s="323"/>
      <c r="AB115" s="323"/>
      <c r="AC115" s="324"/>
      <c r="AD115" s="324"/>
      <c r="AE115" s="324"/>
      <c r="AF115" s="324"/>
      <c r="AG115" s="325"/>
      <c r="AH115" s="325"/>
      <c r="AI115" s="325"/>
      <c r="AJ115" s="326"/>
      <c r="AK115" s="332"/>
      <c r="AL115" s="328"/>
      <c r="AM115" s="322"/>
      <c r="AN115" s="323"/>
      <c r="AO115" s="323"/>
      <c r="AP115" s="324"/>
      <c r="AQ115" s="324"/>
      <c r="AR115" s="324"/>
      <c r="AS115" s="324"/>
      <c r="AT115" s="325"/>
      <c r="AU115" s="325"/>
      <c r="AV115" s="325"/>
      <c r="AW115" s="326"/>
      <c r="AX115" s="332"/>
      <c r="AY115" s="333"/>
    </row>
    <row r="116" spans="1:51" s="330" customFormat="1" ht="15" customHeight="1" x14ac:dyDescent="0.25">
      <c r="A116" s="306"/>
      <c r="B116" s="307"/>
      <c r="C116" s="307"/>
      <c r="D116" s="309"/>
      <c r="E116" s="309"/>
      <c r="F116" s="309"/>
      <c r="G116" s="307"/>
      <c r="H116" s="311"/>
      <c r="I116" s="312"/>
      <c r="J116" s="331"/>
      <c r="K116" s="314"/>
      <c r="L116" s="315"/>
      <c r="M116" s="316"/>
      <c r="N116" s="316"/>
      <c r="O116" s="316"/>
      <c r="P116" s="316"/>
      <c r="Q116" s="316"/>
      <c r="R116" s="316"/>
      <c r="S116" s="316"/>
      <c r="T116" s="317"/>
      <c r="U116" s="317"/>
      <c r="V116" s="318"/>
      <c r="W116" s="484"/>
      <c r="X116" s="320"/>
      <c r="Y116" s="321"/>
      <c r="Z116" s="322"/>
      <c r="AA116" s="323"/>
      <c r="AB116" s="323"/>
      <c r="AC116" s="324"/>
      <c r="AD116" s="324"/>
      <c r="AE116" s="324"/>
      <c r="AF116" s="324"/>
      <c r="AG116" s="325"/>
      <c r="AH116" s="325"/>
      <c r="AI116" s="325"/>
      <c r="AJ116" s="326"/>
      <c r="AK116" s="332">
        <f t="shared" ref="AK116" si="97">SUM(Y116:AJ116)</f>
        <v>0</v>
      </c>
      <c r="AL116" s="328"/>
      <c r="AM116" s="322"/>
      <c r="AN116" s="323"/>
      <c r="AO116" s="323"/>
      <c r="AP116" s="324"/>
      <c r="AQ116" s="324"/>
      <c r="AR116" s="324"/>
      <c r="AS116" s="324"/>
      <c r="AT116" s="325"/>
      <c r="AU116" s="325"/>
      <c r="AV116" s="325"/>
      <c r="AW116" s="326"/>
      <c r="AX116" s="332">
        <f t="shared" ref="AX116" si="98">SUM(AL116:AW116)</f>
        <v>0</v>
      </c>
      <c r="AY116" s="333">
        <f t="shared" ref="AY116" si="99">AK116-AX116</f>
        <v>0</v>
      </c>
    </row>
    <row r="117" spans="1:51" s="330" customFormat="1" ht="15" customHeight="1" x14ac:dyDescent="0.25">
      <c r="A117" s="306"/>
      <c r="B117" s="307"/>
      <c r="C117" s="307"/>
      <c r="D117" s="309"/>
      <c r="E117" s="309"/>
      <c r="F117" s="309"/>
      <c r="G117" s="307"/>
      <c r="H117" s="311"/>
      <c r="I117" s="312"/>
      <c r="J117" s="331"/>
      <c r="K117" s="314"/>
      <c r="L117" s="315"/>
      <c r="M117" s="316"/>
      <c r="N117" s="316"/>
      <c r="O117" s="316"/>
      <c r="P117" s="316"/>
      <c r="Q117" s="316"/>
      <c r="R117" s="316"/>
      <c r="S117" s="316"/>
      <c r="T117" s="317"/>
      <c r="U117" s="317"/>
      <c r="V117" s="318"/>
      <c r="W117" s="319"/>
      <c r="X117" s="320"/>
      <c r="Y117" s="321"/>
      <c r="Z117" s="322"/>
      <c r="AA117" s="323"/>
      <c r="AB117" s="323"/>
      <c r="AC117" s="324"/>
      <c r="AD117" s="324"/>
      <c r="AE117" s="324"/>
      <c r="AF117" s="324"/>
      <c r="AG117" s="325"/>
      <c r="AH117" s="325"/>
      <c r="AI117" s="325"/>
      <c r="AJ117" s="326"/>
      <c r="AK117" s="332"/>
      <c r="AL117" s="328"/>
      <c r="AM117" s="322"/>
      <c r="AN117" s="323"/>
      <c r="AO117" s="323"/>
      <c r="AP117" s="324"/>
      <c r="AQ117" s="324"/>
      <c r="AR117" s="324"/>
      <c r="AS117" s="324"/>
      <c r="AT117" s="325"/>
      <c r="AU117" s="325"/>
      <c r="AV117" s="325"/>
      <c r="AW117" s="326"/>
      <c r="AX117" s="332"/>
      <c r="AY117" s="333"/>
    </row>
    <row r="118" spans="1:51" s="330" customFormat="1" ht="15" customHeight="1" x14ac:dyDescent="0.25">
      <c r="A118" s="306"/>
      <c r="B118" s="307" t="s">
        <v>59</v>
      </c>
      <c r="C118" s="307" t="s">
        <v>50</v>
      </c>
      <c r="D118" s="309" t="s">
        <v>67</v>
      </c>
      <c r="E118" s="309" t="s">
        <v>693</v>
      </c>
      <c r="F118" s="309" t="s">
        <v>67</v>
      </c>
      <c r="G118" s="307" t="s">
        <v>705</v>
      </c>
      <c r="H118" s="311"/>
      <c r="I118" s="312"/>
      <c r="J118" s="331" t="s">
        <v>834</v>
      </c>
      <c r="K118" s="314"/>
      <c r="L118" s="315"/>
      <c r="M118" s="316"/>
      <c r="N118" s="316"/>
      <c r="O118" s="316"/>
      <c r="P118" s="316"/>
      <c r="Q118" s="316"/>
      <c r="R118" s="316"/>
      <c r="S118" s="316"/>
      <c r="T118" s="317"/>
      <c r="U118" s="317"/>
      <c r="V118" s="318"/>
      <c r="W118" s="319">
        <f>SUM(W119:W122)</f>
        <v>5400000</v>
      </c>
      <c r="X118" s="320"/>
      <c r="Y118" s="321"/>
      <c r="Z118" s="322"/>
      <c r="AA118" s="323"/>
      <c r="AB118" s="323"/>
      <c r="AC118" s="324"/>
      <c r="AD118" s="324"/>
      <c r="AE118" s="324"/>
      <c r="AF118" s="324"/>
      <c r="AG118" s="325"/>
      <c r="AH118" s="325"/>
      <c r="AI118" s="325"/>
      <c r="AJ118" s="326"/>
      <c r="AK118" s="332"/>
      <c r="AL118" s="328"/>
      <c r="AM118" s="322"/>
      <c r="AN118" s="323"/>
      <c r="AO118" s="323"/>
      <c r="AP118" s="324"/>
      <c r="AQ118" s="324"/>
      <c r="AR118" s="324"/>
      <c r="AS118" s="324"/>
      <c r="AT118" s="325"/>
      <c r="AU118" s="325"/>
      <c r="AV118" s="325"/>
      <c r="AW118" s="326"/>
      <c r="AX118" s="332"/>
      <c r="AY118" s="333"/>
    </row>
    <row r="119" spans="1:51" s="330" customFormat="1" ht="15" customHeight="1" x14ac:dyDescent="0.25">
      <c r="A119" s="306"/>
      <c r="B119" s="307"/>
      <c r="C119" s="307"/>
      <c r="D119" s="309"/>
      <c r="E119" s="309"/>
      <c r="F119" s="309"/>
      <c r="G119" s="307"/>
      <c r="H119" s="311"/>
      <c r="I119" s="312"/>
      <c r="J119" s="331" t="s">
        <v>423</v>
      </c>
      <c r="K119" s="314"/>
      <c r="L119" s="315"/>
      <c r="M119" s="316"/>
      <c r="N119" s="316"/>
      <c r="O119" s="316"/>
      <c r="P119" s="316"/>
      <c r="Q119" s="316"/>
      <c r="R119" s="316">
        <v>2</v>
      </c>
      <c r="S119" s="316" t="s">
        <v>626</v>
      </c>
      <c r="T119" s="317">
        <f t="shared" ref="T119" si="100">R119</f>
        <v>2</v>
      </c>
      <c r="U119" s="317" t="s">
        <v>626</v>
      </c>
      <c r="V119" s="318">
        <v>700000</v>
      </c>
      <c r="W119" s="484">
        <f>V119*T119</f>
        <v>1400000</v>
      </c>
      <c r="X119" s="320" t="s">
        <v>649</v>
      </c>
      <c r="Y119" s="321"/>
      <c r="Z119" s="322"/>
      <c r="AA119" s="323"/>
      <c r="AB119" s="323"/>
      <c r="AC119" s="324"/>
      <c r="AD119" s="324"/>
      <c r="AE119" s="324"/>
      <c r="AF119" s="324"/>
      <c r="AG119" s="325"/>
      <c r="AH119" s="325"/>
      <c r="AI119" s="325"/>
      <c r="AJ119" s="326"/>
      <c r="AK119" s="332">
        <f t="shared" ref="AK119" si="101">SUM(Y119:AJ119)</f>
        <v>0</v>
      </c>
      <c r="AL119" s="328"/>
      <c r="AM119" s="322"/>
      <c r="AN119" s="323"/>
      <c r="AO119" s="323"/>
      <c r="AP119" s="324"/>
      <c r="AQ119" s="324"/>
      <c r="AR119" s="324"/>
      <c r="AS119" s="324"/>
      <c r="AT119" s="325"/>
      <c r="AU119" s="325"/>
      <c r="AV119" s="325"/>
      <c r="AW119" s="326"/>
      <c r="AX119" s="332">
        <f t="shared" ref="AX119" si="102">SUM(AL119:AW119)</f>
        <v>0</v>
      </c>
      <c r="AY119" s="333">
        <f t="shared" ref="AY119" si="103">AK119-AX119</f>
        <v>0</v>
      </c>
    </row>
    <row r="120" spans="1:51" s="330" customFormat="1" ht="15" customHeight="1" x14ac:dyDescent="0.25">
      <c r="A120" s="306"/>
      <c r="B120" s="307"/>
      <c r="C120" s="307"/>
      <c r="D120" s="309"/>
      <c r="E120" s="309"/>
      <c r="F120" s="309"/>
      <c r="G120" s="307"/>
      <c r="H120" s="311"/>
      <c r="I120" s="312"/>
      <c r="J120" s="331" t="s">
        <v>423</v>
      </c>
      <c r="K120" s="314"/>
      <c r="L120" s="315"/>
      <c r="M120" s="316"/>
      <c r="N120" s="316"/>
      <c r="O120" s="316"/>
      <c r="P120" s="316"/>
      <c r="Q120" s="316"/>
      <c r="R120" s="316">
        <v>3</v>
      </c>
      <c r="S120" s="316" t="s">
        <v>626</v>
      </c>
      <c r="T120" s="317">
        <f t="shared" ref="T120" si="104">R120</f>
        <v>3</v>
      </c>
      <c r="U120" s="317" t="s">
        <v>626</v>
      </c>
      <c r="V120" s="318">
        <v>700000</v>
      </c>
      <c r="W120" s="484">
        <f>V120*T120</f>
        <v>2100000</v>
      </c>
      <c r="X120" s="320" t="s">
        <v>566</v>
      </c>
      <c r="Y120" s="321"/>
      <c r="Z120" s="322"/>
      <c r="AA120" s="323"/>
      <c r="AB120" s="323"/>
      <c r="AC120" s="324"/>
      <c r="AD120" s="324"/>
      <c r="AE120" s="324"/>
      <c r="AF120" s="324"/>
      <c r="AG120" s="325"/>
      <c r="AH120" s="325"/>
      <c r="AI120" s="325"/>
      <c r="AJ120" s="326"/>
      <c r="AK120" s="332"/>
      <c r="AL120" s="328"/>
      <c r="AM120" s="322"/>
      <c r="AN120" s="323"/>
      <c r="AO120" s="323"/>
      <c r="AP120" s="324"/>
      <c r="AQ120" s="324"/>
      <c r="AR120" s="324"/>
      <c r="AS120" s="324"/>
      <c r="AT120" s="325"/>
      <c r="AU120" s="325"/>
      <c r="AV120" s="325"/>
      <c r="AW120" s="326"/>
      <c r="AX120" s="332"/>
      <c r="AY120" s="333"/>
    </row>
    <row r="121" spans="1:51" s="330" customFormat="1" ht="15" customHeight="1" x14ac:dyDescent="0.25">
      <c r="A121" s="306"/>
      <c r="B121" s="307"/>
      <c r="C121" s="307"/>
      <c r="D121" s="309"/>
      <c r="E121" s="309"/>
      <c r="F121" s="309"/>
      <c r="G121" s="307"/>
      <c r="H121" s="311"/>
      <c r="I121" s="312"/>
      <c r="J121" s="331" t="s">
        <v>868</v>
      </c>
      <c r="K121" s="314"/>
      <c r="L121" s="315"/>
      <c r="M121" s="316"/>
      <c r="N121" s="316"/>
      <c r="O121" s="316"/>
      <c r="P121" s="316"/>
      <c r="Q121" s="316"/>
      <c r="R121" s="316">
        <v>1</v>
      </c>
      <c r="S121" s="316" t="s">
        <v>626</v>
      </c>
      <c r="T121" s="317">
        <f t="shared" ref="T121" si="105">R121</f>
        <v>1</v>
      </c>
      <c r="U121" s="317" t="s">
        <v>626</v>
      </c>
      <c r="V121" s="318">
        <v>700000</v>
      </c>
      <c r="W121" s="484">
        <f>V121*T121</f>
        <v>700000</v>
      </c>
      <c r="X121" s="320" t="s">
        <v>649</v>
      </c>
      <c r="Y121" s="321"/>
      <c r="Z121" s="322"/>
      <c r="AA121" s="323"/>
      <c r="AB121" s="323"/>
      <c r="AC121" s="324"/>
      <c r="AD121" s="324"/>
      <c r="AE121" s="324"/>
      <c r="AF121" s="324"/>
      <c r="AG121" s="325"/>
      <c r="AH121" s="325"/>
      <c r="AI121" s="325"/>
      <c r="AJ121" s="326"/>
      <c r="AK121" s="332"/>
      <c r="AL121" s="328"/>
      <c r="AM121" s="322"/>
      <c r="AN121" s="323"/>
      <c r="AO121" s="323"/>
      <c r="AP121" s="324"/>
      <c r="AQ121" s="324"/>
      <c r="AR121" s="324"/>
      <c r="AS121" s="324"/>
      <c r="AT121" s="325"/>
      <c r="AU121" s="325"/>
      <c r="AV121" s="325"/>
      <c r="AW121" s="326"/>
      <c r="AX121" s="332"/>
      <c r="AY121" s="333"/>
    </row>
    <row r="122" spans="1:51" s="330" customFormat="1" ht="15" customHeight="1" x14ac:dyDescent="0.25">
      <c r="A122" s="306"/>
      <c r="B122" s="307"/>
      <c r="C122" s="307"/>
      <c r="D122" s="309"/>
      <c r="E122" s="309"/>
      <c r="F122" s="309"/>
      <c r="G122" s="307"/>
      <c r="H122" s="311"/>
      <c r="I122" s="312"/>
      <c r="J122" s="331" t="s">
        <v>870</v>
      </c>
      <c r="K122" s="314"/>
      <c r="L122" s="315"/>
      <c r="M122" s="316"/>
      <c r="N122" s="316"/>
      <c r="O122" s="316"/>
      <c r="P122" s="316"/>
      <c r="Q122" s="316"/>
      <c r="R122" s="316">
        <v>2</v>
      </c>
      <c r="S122" s="316" t="s">
        <v>626</v>
      </c>
      <c r="T122" s="317">
        <f t="shared" ref="T122" si="106">R122</f>
        <v>2</v>
      </c>
      <c r="U122" s="317" t="s">
        <v>626</v>
      </c>
      <c r="V122" s="318">
        <v>600000</v>
      </c>
      <c r="W122" s="484">
        <f>V122*T122</f>
        <v>1200000</v>
      </c>
      <c r="X122" s="320" t="s">
        <v>649</v>
      </c>
      <c r="Y122" s="321"/>
      <c r="Z122" s="322"/>
      <c r="AA122" s="323"/>
      <c r="AB122" s="323"/>
      <c r="AC122" s="324"/>
      <c r="AD122" s="324"/>
      <c r="AE122" s="324"/>
      <c r="AF122" s="324"/>
      <c r="AG122" s="325"/>
      <c r="AH122" s="325"/>
      <c r="AI122" s="325"/>
      <c r="AJ122" s="326"/>
      <c r="AK122" s="332"/>
      <c r="AL122" s="328"/>
      <c r="AM122" s="322"/>
      <c r="AN122" s="323"/>
      <c r="AO122" s="323"/>
      <c r="AP122" s="324"/>
      <c r="AQ122" s="324"/>
      <c r="AR122" s="324"/>
      <c r="AS122" s="324"/>
      <c r="AT122" s="325"/>
      <c r="AU122" s="325"/>
      <c r="AV122" s="325"/>
      <c r="AW122" s="326"/>
      <c r="AX122" s="332"/>
      <c r="AY122" s="333"/>
    </row>
    <row r="123" spans="1:51" s="330" customFormat="1" ht="15" customHeight="1" x14ac:dyDescent="0.25">
      <c r="A123" s="306"/>
      <c r="B123" s="307"/>
      <c r="C123" s="307"/>
      <c r="D123" s="309"/>
      <c r="E123" s="309"/>
      <c r="F123" s="309"/>
      <c r="G123" s="307"/>
      <c r="H123" s="311"/>
      <c r="I123" s="312"/>
      <c r="J123" s="331"/>
      <c r="K123" s="314"/>
      <c r="L123" s="315"/>
      <c r="M123" s="316"/>
      <c r="N123" s="316"/>
      <c r="O123" s="316"/>
      <c r="P123" s="316"/>
      <c r="Q123" s="316"/>
      <c r="R123" s="316"/>
      <c r="S123" s="316"/>
      <c r="T123" s="317"/>
      <c r="U123" s="317"/>
      <c r="V123" s="318"/>
      <c r="W123" s="484"/>
      <c r="X123" s="320"/>
      <c r="Y123" s="321"/>
      <c r="Z123" s="322"/>
      <c r="AA123" s="323"/>
      <c r="AB123" s="323"/>
      <c r="AC123" s="324"/>
      <c r="AD123" s="324"/>
      <c r="AE123" s="324"/>
      <c r="AF123" s="324"/>
      <c r="AG123" s="325"/>
      <c r="AH123" s="325"/>
      <c r="AI123" s="325"/>
      <c r="AJ123" s="326"/>
      <c r="AK123" s="332"/>
      <c r="AL123" s="328"/>
      <c r="AM123" s="322"/>
      <c r="AN123" s="323"/>
      <c r="AO123" s="323"/>
      <c r="AP123" s="324"/>
      <c r="AQ123" s="324"/>
      <c r="AR123" s="324"/>
      <c r="AS123" s="324"/>
      <c r="AT123" s="325"/>
      <c r="AU123" s="325"/>
      <c r="AV123" s="325"/>
      <c r="AW123" s="326"/>
      <c r="AX123" s="332"/>
      <c r="AY123" s="333"/>
    </row>
    <row r="124" spans="1:51" s="330" customFormat="1" ht="15" customHeight="1" x14ac:dyDescent="0.25">
      <c r="A124" s="306"/>
      <c r="B124" s="307" t="s">
        <v>59</v>
      </c>
      <c r="C124" s="307" t="s">
        <v>50</v>
      </c>
      <c r="D124" s="309" t="s">
        <v>67</v>
      </c>
      <c r="E124" s="309" t="s">
        <v>693</v>
      </c>
      <c r="F124" s="309" t="s">
        <v>67</v>
      </c>
      <c r="G124" s="307" t="s">
        <v>853</v>
      </c>
      <c r="H124" s="311"/>
      <c r="I124" s="312"/>
      <c r="J124" s="331" t="s">
        <v>867</v>
      </c>
      <c r="K124" s="314"/>
      <c r="L124" s="315"/>
      <c r="M124" s="316"/>
      <c r="N124" s="316"/>
      <c r="O124" s="316"/>
      <c r="P124" s="316"/>
      <c r="Q124" s="316"/>
      <c r="R124" s="316"/>
      <c r="S124" s="316"/>
      <c r="T124" s="317"/>
      <c r="U124" s="317"/>
      <c r="V124" s="318"/>
      <c r="W124" s="319">
        <f>W125</f>
        <v>700000</v>
      </c>
      <c r="X124" s="320"/>
      <c r="Y124" s="321"/>
      <c r="Z124" s="322"/>
      <c r="AA124" s="323"/>
      <c r="AB124" s="323"/>
      <c r="AC124" s="324"/>
      <c r="AD124" s="324"/>
      <c r="AE124" s="324"/>
      <c r="AF124" s="324"/>
      <c r="AG124" s="325"/>
      <c r="AH124" s="325"/>
      <c r="AI124" s="325"/>
      <c r="AJ124" s="326"/>
      <c r="AK124" s="332"/>
      <c r="AL124" s="328"/>
      <c r="AM124" s="322"/>
      <c r="AN124" s="323"/>
      <c r="AO124" s="323"/>
      <c r="AP124" s="324"/>
      <c r="AQ124" s="324"/>
      <c r="AR124" s="324"/>
      <c r="AS124" s="324"/>
      <c r="AT124" s="325"/>
      <c r="AU124" s="325"/>
      <c r="AV124" s="325"/>
      <c r="AW124" s="326"/>
      <c r="AX124" s="332"/>
      <c r="AY124" s="333"/>
    </row>
    <row r="125" spans="1:51" s="330" customFormat="1" ht="15" customHeight="1" x14ac:dyDescent="0.25">
      <c r="A125" s="306"/>
      <c r="B125" s="307"/>
      <c r="C125" s="307"/>
      <c r="D125" s="309"/>
      <c r="E125" s="309"/>
      <c r="F125" s="309"/>
      <c r="G125" s="307"/>
      <c r="H125" s="311"/>
      <c r="I125" s="312"/>
      <c r="J125" s="331" t="s">
        <v>869</v>
      </c>
      <c r="K125" s="314"/>
      <c r="L125" s="315"/>
      <c r="M125" s="316"/>
      <c r="N125" s="316"/>
      <c r="O125" s="316"/>
      <c r="P125" s="316"/>
      <c r="Q125" s="316"/>
      <c r="R125" s="316">
        <v>1</v>
      </c>
      <c r="S125" s="316" t="s">
        <v>626</v>
      </c>
      <c r="T125" s="317">
        <f t="shared" ref="T125" si="107">R125</f>
        <v>1</v>
      </c>
      <c r="U125" s="317" t="s">
        <v>626</v>
      </c>
      <c r="V125" s="318">
        <v>700000</v>
      </c>
      <c r="W125" s="484">
        <f>V125*T125</f>
        <v>700000</v>
      </c>
      <c r="X125" s="320" t="s">
        <v>649</v>
      </c>
      <c r="Y125" s="321"/>
      <c r="Z125" s="322"/>
      <c r="AA125" s="323"/>
      <c r="AB125" s="323"/>
      <c r="AC125" s="324"/>
      <c r="AD125" s="324"/>
      <c r="AE125" s="324"/>
      <c r="AF125" s="324"/>
      <c r="AG125" s="325"/>
      <c r="AH125" s="325"/>
      <c r="AI125" s="325"/>
      <c r="AJ125" s="326"/>
      <c r="AK125" s="332"/>
      <c r="AL125" s="328"/>
      <c r="AM125" s="322"/>
      <c r="AN125" s="323"/>
      <c r="AO125" s="323"/>
      <c r="AP125" s="324"/>
      <c r="AQ125" s="324"/>
      <c r="AR125" s="324"/>
      <c r="AS125" s="324"/>
      <c r="AT125" s="325"/>
      <c r="AU125" s="325"/>
      <c r="AV125" s="325"/>
      <c r="AW125" s="326"/>
      <c r="AX125" s="332"/>
      <c r="AY125" s="333"/>
    </row>
    <row r="126" spans="1:51" s="330" customFormat="1" ht="15" customHeight="1" x14ac:dyDescent="0.25">
      <c r="A126" s="306"/>
      <c r="B126" s="307"/>
      <c r="C126" s="307"/>
      <c r="D126" s="309"/>
      <c r="E126" s="309"/>
      <c r="F126" s="309"/>
      <c r="G126" s="307"/>
      <c r="H126" s="311"/>
      <c r="I126" s="312"/>
      <c r="J126" s="331"/>
      <c r="K126" s="314"/>
      <c r="L126" s="315"/>
      <c r="M126" s="316"/>
      <c r="N126" s="316"/>
      <c r="O126" s="316"/>
      <c r="P126" s="316"/>
      <c r="Q126" s="316"/>
      <c r="R126" s="316"/>
      <c r="S126" s="316"/>
      <c r="T126" s="317"/>
      <c r="U126" s="317"/>
      <c r="V126" s="318"/>
      <c r="W126" s="484"/>
      <c r="X126" s="320"/>
      <c r="Y126" s="321"/>
      <c r="Z126" s="322"/>
      <c r="AA126" s="323"/>
      <c r="AB126" s="323"/>
      <c r="AC126" s="324"/>
      <c r="AD126" s="324"/>
      <c r="AE126" s="324"/>
      <c r="AF126" s="324"/>
      <c r="AG126" s="325"/>
      <c r="AH126" s="325"/>
      <c r="AI126" s="325"/>
      <c r="AJ126" s="326"/>
      <c r="AK126" s="332"/>
      <c r="AL126" s="328"/>
      <c r="AM126" s="322"/>
      <c r="AN126" s="323"/>
      <c r="AO126" s="323"/>
      <c r="AP126" s="324"/>
      <c r="AQ126" s="324"/>
      <c r="AR126" s="324"/>
      <c r="AS126" s="324"/>
      <c r="AT126" s="325"/>
      <c r="AU126" s="325"/>
      <c r="AV126" s="325"/>
      <c r="AW126" s="326"/>
      <c r="AX126" s="332"/>
      <c r="AY126" s="333"/>
    </row>
    <row r="127" spans="1:51" s="305" customFormat="1" ht="15" customHeight="1" x14ac:dyDescent="0.25">
      <c r="A127" s="269"/>
      <c r="B127" s="270" t="s">
        <v>59</v>
      </c>
      <c r="C127" s="270" t="s">
        <v>50</v>
      </c>
      <c r="D127" s="288" t="s">
        <v>67</v>
      </c>
      <c r="E127" s="288" t="s">
        <v>693</v>
      </c>
      <c r="F127" s="271" t="s">
        <v>693</v>
      </c>
      <c r="G127" s="270"/>
      <c r="H127" s="273"/>
      <c r="I127" s="289"/>
      <c r="J127" s="283" t="s">
        <v>695</v>
      </c>
      <c r="K127" s="290"/>
      <c r="L127" s="291"/>
      <c r="M127" s="292"/>
      <c r="N127" s="292"/>
      <c r="O127" s="292"/>
      <c r="P127" s="292"/>
      <c r="Q127" s="292"/>
      <c r="R127" s="292"/>
      <c r="S127" s="292"/>
      <c r="T127" s="293"/>
      <c r="U127" s="293"/>
      <c r="V127" s="294"/>
      <c r="W127" s="295">
        <f>W128</f>
        <v>2194600</v>
      </c>
      <c r="X127" s="296"/>
      <c r="Y127" s="297"/>
      <c r="Z127" s="259"/>
      <c r="AA127" s="298"/>
      <c r="AB127" s="298"/>
      <c r="AC127" s="299"/>
      <c r="AD127" s="299"/>
      <c r="AE127" s="299"/>
      <c r="AF127" s="299"/>
      <c r="AG127" s="300"/>
      <c r="AH127" s="300"/>
      <c r="AI127" s="300"/>
      <c r="AJ127" s="301"/>
      <c r="AK127" s="335"/>
      <c r="AL127" s="303"/>
      <c r="AM127" s="259"/>
      <c r="AN127" s="298"/>
      <c r="AO127" s="298"/>
      <c r="AP127" s="299"/>
      <c r="AQ127" s="299"/>
      <c r="AR127" s="299"/>
      <c r="AS127" s="299"/>
      <c r="AT127" s="300"/>
      <c r="AU127" s="300"/>
      <c r="AV127" s="300"/>
      <c r="AW127" s="301"/>
      <c r="AX127" s="335"/>
      <c r="AY127" s="336"/>
    </row>
    <row r="128" spans="1:51" s="330" customFormat="1" ht="15" customHeight="1" x14ac:dyDescent="0.25">
      <c r="A128" s="306"/>
      <c r="B128" s="307" t="s">
        <v>59</v>
      </c>
      <c r="C128" s="307" t="s">
        <v>50</v>
      </c>
      <c r="D128" s="309" t="s">
        <v>67</v>
      </c>
      <c r="E128" s="309" t="s">
        <v>693</v>
      </c>
      <c r="F128" s="308" t="s">
        <v>693</v>
      </c>
      <c r="G128" s="310" t="s">
        <v>697</v>
      </c>
      <c r="H128" s="311"/>
      <c r="I128" s="312"/>
      <c r="J128" s="331" t="s">
        <v>698</v>
      </c>
      <c r="K128" s="314"/>
      <c r="L128" s="315"/>
      <c r="M128" s="316"/>
      <c r="N128" s="316"/>
      <c r="O128" s="316"/>
      <c r="P128" s="316"/>
      <c r="Q128" s="316"/>
      <c r="R128" s="316"/>
      <c r="S128" s="316"/>
      <c r="T128" s="317"/>
      <c r="U128" s="317"/>
      <c r="V128" s="318"/>
      <c r="W128" s="319">
        <f>W129</f>
        <v>2194600</v>
      </c>
      <c r="X128" s="320"/>
      <c r="Y128" s="321"/>
      <c r="Z128" s="322"/>
      <c r="AA128" s="323"/>
      <c r="AB128" s="323"/>
      <c r="AC128" s="324"/>
      <c r="AD128" s="324"/>
      <c r="AE128" s="324"/>
      <c r="AF128" s="324"/>
      <c r="AG128" s="325"/>
      <c r="AH128" s="325"/>
      <c r="AI128" s="325"/>
      <c r="AJ128" s="326"/>
      <c r="AK128" s="332"/>
      <c r="AL128" s="328"/>
      <c r="AM128" s="322"/>
      <c r="AN128" s="323"/>
      <c r="AO128" s="323"/>
      <c r="AP128" s="324"/>
      <c r="AQ128" s="324"/>
      <c r="AR128" s="324"/>
      <c r="AS128" s="324"/>
      <c r="AT128" s="325"/>
      <c r="AU128" s="325"/>
      <c r="AV128" s="325"/>
      <c r="AW128" s="326"/>
      <c r="AX128" s="332"/>
      <c r="AY128" s="333"/>
    </row>
    <row r="129" spans="1:51" s="330" customFormat="1" ht="15" customHeight="1" x14ac:dyDescent="0.25">
      <c r="A129" s="306"/>
      <c r="B129" s="307"/>
      <c r="C129" s="307"/>
      <c r="D129" s="308"/>
      <c r="E129" s="308"/>
      <c r="F129" s="308"/>
      <c r="G129" s="307"/>
      <c r="H129" s="311"/>
      <c r="I129" s="312"/>
      <c r="J129" s="331" t="s">
        <v>898</v>
      </c>
      <c r="K129" s="314"/>
      <c r="L129" s="315"/>
      <c r="M129" s="316"/>
      <c r="N129" s="316"/>
      <c r="O129" s="316"/>
      <c r="P129" s="316"/>
      <c r="Q129" s="316"/>
      <c r="R129" s="316"/>
      <c r="S129" s="316"/>
      <c r="T129" s="317"/>
      <c r="U129" s="317"/>
      <c r="V129" s="318"/>
      <c r="W129" s="485">
        <v>2194600</v>
      </c>
      <c r="X129" s="320" t="s">
        <v>649</v>
      </c>
      <c r="Y129" s="321"/>
      <c r="Z129" s="322"/>
      <c r="AA129" s="323"/>
      <c r="AB129" s="323"/>
      <c r="AC129" s="324"/>
      <c r="AD129" s="324">
        <f>W129</f>
        <v>2194600</v>
      </c>
      <c r="AE129" s="324"/>
      <c r="AF129" s="324"/>
      <c r="AG129" s="325"/>
      <c r="AH129" s="325"/>
      <c r="AI129" s="325"/>
      <c r="AJ129" s="326"/>
      <c r="AK129" s="332">
        <f t="shared" ref="AK129" si="108">SUM(Y129:AJ129)</f>
        <v>2194600</v>
      </c>
      <c r="AL129" s="328"/>
      <c r="AM129" s="322"/>
      <c r="AN129" s="323"/>
      <c r="AO129" s="323"/>
      <c r="AP129" s="324"/>
      <c r="AQ129" s="324"/>
      <c r="AR129" s="324"/>
      <c r="AS129" s="324"/>
      <c r="AT129" s="325"/>
      <c r="AU129" s="325"/>
      <c r="AV129" s="325"/>
      <c r="AW129" s="326"/>
      <c r="AX129" s="332">
        <f t="shared" ref="AX129" si="109">SUM(AL129:AW129)</f>
        <v>0</v>
      </c>
      <c r="AY129" s="333">
        <f t="shared" ref="AY129" si="110">AK129-AX129</f>
        <v>2194600</v>
      </c>
    </row>
    <row r="130" spans="1:51" s="345" customFormat="1" ht="15" customHeight="1" x14ac:dyDescent="0.25">
      <c r="A130" s="306"/>
      <c r="B130" s="307"/>
      <c r="C130" s="307"/>
      <c r="D130" s="308"/>
      <c r="E130" s="308"/>
      <c r="F130" s="308"/>
      <c r="G130" s="307"/>
      <c r="H130" s="311"/>
      <c r="I130" s="347"/>
      <c r="J130" s="313"/>
      <c r="K130" s="284"/>
      <c r="L130" s="285"/>
      <c r="M130" s="286"/>
      <c r="N130" s="286"/>
      <c r="O130" s="286"/>
      <c r="P130" s="286"/>
      <c r="Q130" s="286"/>
      <c r="R130" s="286"/>
      <c r="S130" s="286"/>
      <c r="T130" s="279"/>
      <c r="U130" s="279"/>
      <c r="V130" s="280"/>
      <c r="W130" s="346"/>
      <c r="X130" s="348"/>
      <c r="Y130" s="337"/>
      <c r="Z130" s="338"/>
      <c r="AA130" s="338"/>
      <c r="AB130" s="338"/>
      <c r="AC130" s="339"/>
      <c r="AD130" s="339"/>
      <c r="AE130" s="339"/>
      <c r="AF130" s="339"/>
      <c r="AG130" s="340"/>
      <c r="AH130" s="340"/>
      <c r="AI130" s="340"/>
      <c r="AJ130" s="341"/>
      <c r="AK130" s="343"/>
      <c r="AL130" s="342"/>
      <c r="AM130" s="338"/>
      <c r="AN130" s="338"/>
      <c r="AO130" s="338"/>
      <c r="AP130" s="339"/>
      <c r="AQ130" s="339"/>
      <c r="AR130" s="339"/>
      <c r="AS130" s="339"/>
      <c r="AT130" s="340"/>
      <c r="AU130" s="340"/>
      <c r="AV130" s="340"/>
      <c r="AW130" s="341"/>
      <c r="AX130" s="343"/>
      <c r="AY130" s="344"/>
    </row>
    <row r="131" spans="1:51" s="268" customFormat="1" ht="15" customHeight="1" thickBot="1" x14ac:dyDescent="0.3">
      <c r="A131" s="349"/>
      <c r="B131" s="350"/>
      <c r="C131" s="350"/>
      <c r="D131" s="351"/>
      <c r="E131" s="351"/>
      <c r="F131" s="351"/>
      <c r="G131" s="350"/>
      <c r="H131" s="352"/>
      <c r="I131" s="353"/>
      <c r="J131" s="354"/>
      <c r="K131" s="314"/>
      <c r="L131" s="331"/>
      <c r="M131" s="355"/>
      <c r="N131" s="355"/>
      <c r="O131" s="355"/>
      <c r="P131" s="355"/>
      <c r="Q131" s="355"/>
      <c r="R131" s="355"/>
      <c r="S131" s="355"/>
      <c r="T131" s="356"/>
      <c r="U131" s="317"/>
      <c r="V131" s="357"/>
      <c r="W131" s="358"/>
      <c r="X131" s="348"/>
      <c r="Y131" s="359"/>
      <c r="Z131" s="360"/>
      <c r="AA131" s="360"/>
      <c r="AB131" s="360"/>
      <c r="AC131" s="361"/>
      <c r="AD131" s="361"/>
      <c r="AE131" s="361"/>
      <c r="AF131" s="361"/>
      <c r="AG131" s="362"/>
      <c r="AH131" s="362"/>
      <c r="AI131" s="362"/>
      <c r="AJ131" s="363"/>
      <c r="AK131" s="265"/>
      <c r="AL131" s="364"/>
      <c r="AM131" s="360"/>
      <c r="AN131" s="360"/>
      <c r="AO131" s="360"/>
      <c r="AP131" s="361"/>
      <c r="AQ131" s="361"/>
      <c r="AR131" s="361"/>
      <c r="AS131" s="361"/>
      <c r="AT131" s="362"/>
      <c r="AU131" s="362"/>
      <c r="AV131" s="362"/>
      <c r="AW131" s="363"/>
      <c r="AX131" s="265"/>
      <c r="AY131" s="267"/>
    </row>
    <row r="132" spans="1:51" s="379" customFormat="1" ht="20.25" customHeight="1" thickBot="1" x14ac:dyDescent="0.3">
      <c r="A132" s="365" t="s">
        <v>157</v>
      </c>
      <c r="B132" s="366"/>
      <c r="C132" s="367"/>
      <c r="D132" s="367"/>
      <c r="E132" s="367"/>
      <c r="F132" s="367"/>
      <c r="G132" s="367"/>
      <c r="H132" s="367"/>
      <c r="I132" s="367"/>
      <c r="J132" s="367"/>
      <c r="K132" s="367"/>
      <c r="L132" s="367"/>
      <c r="M132" s="367"/>
      <c r="N132" s="367"/>
      <c r="O132" s="367"/>
      <c r="P132" s="367"/>
      <c r="Q132" s="367"/>
      <c r="R132" s="367"/>
      <c r="S132" s="367"/>
      <c r="T132" s="367"/>
      <c r="U132" s="367"/>
      <c r="V132" s="368"/>
      <c r="W132" s="369">
        <f>W39</f>
        <v>35261800</v>
      </c>
      <c r="X132" s="370"/>
      <c r="Y132" s="371"/>
      <c r="Z132" s="372"/>
      <c r="AA132" s="372"/>
      <c r="AB132" s="372"/>
      <c r="AC132" s="373"/>
      <c r="AD132" s="373"/>
      <c r="AE132" s="373"/>
      <c r="AF132" s="373"/>
      <c r="AG132" s="374"/>
      <c r="AH132" s="374"/>
      <c r="AI132" s="374"/>
      <c r="AJ132" s="375"/>
      <c r="AK132" s="376">
        <f>SUM(AK38:AK131)</f>
        <v>16983380</v>
      </c>
      <c r="AL132" s="377"/>
      <c r="AM132" s="372"/>
      <c r="AN132" s="372"/>
      <c r="AO132" s="372"/>
      <c r="AP132" s="373"/>
      <c r="AQ132" s="373"/>
      <c r="AR132" s="373"/>
      <c r="AS132" s="373"/>
      <c r="AT132" s="374"/>
      <c r="AU132" s="374"/>
      <c r="AV132" s="374"/>
      <c r="AW132" s="375"/>
      <c r="AX132" s="376">
        <f>SUM(AX38:AX131)</f>
        <v>0</v>
      </c>
      <c r="AY132" s="378">
        <f>SUM(AY38:AY131)</f>
        <v>13754880</v>
      </c>
    </row>
    <row r="133" spans="1:51" s="268" customFormat="1" ht="15.75" x14ac:dyDescent="0.25">
      <c r="A133" s="219" t="s">
        <v>158</v>
      </c>
      <c r="B133" s="380"/>
      <c r="C133" s="380"/>
      <c r="D133" s="380"/>
      <c r="E133" s="380"/>
      <c r="F133" s="380"/>
      <c r="G133" s="380"/>
      <c r="H133" s="380"/>
      <c r="I133" s="380"/>
      <c r="J133" s="380"/>
      <c r="K133" s="381"/>
      <c r="L133" s="382"/>
      <c r="M133" s="380"/>
      <c r="N133" s="380"/>
      <c r="O133" s="380"/>
      <c r="P133" s="380"/>
      <c r="Q133" s="380"/>
      <c r="R133" s="380"/>
      <c r="S133" s="380"/>
      <c r="T133" s="383"/>
      <c r="U133" s="384"/>
      <c r="V133" s="384"/>
      <c r="W133" s="384"/>
      <c r="X133" s="385"/>
      <c r="Y133" s="386"/>
      <c r="Z133" s="387"/>
      <c r="AA133" s="387"/>
      <c r="AB133" s="387"/>
      <c r="AC133" s="387"/>
      <c r="AD133" s="387"/>
      <c r="AE133" s="387"/>
      <c r="AF133" s="387"/>
      <c r="AG133" s="387"/>
      <c r="AH133" s="387"/>
      <c r="AI133" s="387"/>
      <c r="AJ133" s="387"/>
    </row>
    <row r="134" spans="1:51" s="268" customFormat="1" ht="15.75" x14ac:dyDescent="0.25">
      <c r="A134" s="219" t="s">
        <v>159</v>
      </c>
      <c r="B134" s="220"/>
      <c r="C134" s="380"/>
      <c r="D134" s="660" t="s">
        <v>160</v>
      </c>
      <c r="E134" s="660"/>
      <c r="F134" s="660"/>
      <c r="G134" s="660"/>
      <c r="H134" s="660"/>
      <c r="I134" s="388"/>
      <c r="J134" s="388"/>
      <c r="K134" s="389"/>
      <c r="L134" s="390"/>
      <c r="M134" s="391"/>
      <c r="N134" s="391"/>
      <c r="O134" s="391"/>
      <c r="P134" s="391"/>
      <c r="Q134" s="391"/>
      <c r="R134" s="391"/>
      <c r="S134" s="391"/>
      <c r="T134" s="380"/>
      <c r="U134" s="388"/>
      <c r="V134" s="392" t="s">
        <v>841</v>
      </c>
      <c r="W134" s="393"/>
      <c r="X134" s="394"/>
      <c r="Y134" s="387"/>
      <c r="Z134" s="387"/>
      <c r="AA134" s="387" t="s">
        <v>161</v>
      </c>
      <c r="AB134" s="387"/>
      <c r="AC134" s="387"/>
      <c r="AD134" s="387"/>
      <c r="AE134" s="387"/>
      <c r="AF134" s="387"/>
      <c r="AG134" s="387"/>
      <c r="AH134" s="387"/>
      <c r="AI134" s="387"/>
      <c r="AJ134" s="387"/>
    </row>
    <row r="135" spans="1:51" s="268" customFormat="1" ht="12" customHeight="1" x14ac:dyDescent="0.25">
      <c r="A135" s="219" t="s">
        <v>162</v>
      </c>
      <c r="B135" s="220"/>
      <c r="C135" s="380"/>
      <c r="D135" s="660" t="s">
        <v>160</v>
      </c>
      <c r="E135" s="660"/>
      <c r="F135" s="660"/>
      <c r="G135" s="660"/>
      <c r="H135" s="660"/>
      <c r="I135" s="388"/>
      <c r="J135" s="388"/>
      <c r="K135" s="389"/>
      <c r="L135" s="390"/>
      <c r="M135" s="391"/>
      <c r="N135" s="391"/>
      <c r="O135" s="391"/>
      <c r="P135" s="391"/>
      <c r="Q135" s="391"/>
      <c r="R135" s="391"/>
      <c r="S135" s="391"/>
      <c r="T135" s="380"/>
      <c r="U135" s="384"/>
      <c r="V135" s="395" t="s">
        <v>26</v>
      </c>
      <c r="W135" s="393"/>
      <c r="X135" s="394"/>
      <c r="Y135" s="387"/>
      <c r="Z135" s="387"/>
      <c r="AA135" s="387"/>
      <c r="AB135" s="387"/>
      <c r="AC135" s="387"/>
      <c r="AD135" s="387"/>
      <c r="AE135" s="387"/>
      <c r="AF135" s="387"/>
      <c r="AG135" s="387"/>
      <c r="AH135" s="387"/>
      <c r="AI135" s="387"/>
      <c r="AJ135" s="387"/>
    </row>
    <row r="136" spans="1:51" s="268" customFormat="1" ht="15.75" x14ac:dyDescent="0.25">
      <c r="A136" s="219" t="s">
        <v>163</v>
      </c>
      <c r="B136" s="220"/>
      <c r="C136" s="380"/>
      <c r="D136" s="660" t="s">
        <v>160</v>
      </c>
      <c r="E136" s="660"/>
      <c r="F136" s="660"/>
      <c r="G136" s="660"/>
      <c r="H136" s="660"/>
      <c r="I136" s="388"/>
      <c r="J136" s="388"/>
      <c r="K136" s="389"/>
      <c r="L136" s="390"/>
      <c r="M136" s="391"/>
      <c r="N136" s="391"/>
      <c r="O136" s="391"/>
      <c r="P136" s="391"/>
      <c r="Q136" s="391"/>
      <c r="R136" s="391"/>
      <c r="S136" s="391"/>
      <c r="T136" s="380"/>
      <c r="U136" s="384"/>
      <c r="V136" s="395"/>
      <c r="W136" s="393"/>
      <c r="X136" s="394"/>
      <c r="Y136" s="387"/>
      <c r="Z136" s="387"/>
      <c r="AA136" s="387"/>
      <c r="AB136" s="387"/>
      <c r="AC136" s="387"/>
      <c r="AD136" s="387"/>
      <c r="AE136" s="387"/>
      <c r="AF136" s="387"/>
      <c r="AG136" s="387"/>
      <c r="AH136" s="387"/>
      <c r="AI136" s="387"/>
      <c r="AJ136" s="387"/>
    </row>
    <row r="137" spans="1:51" s="268" customFormat="1" ht="15.75" x14ac:dyDescent="0.25">
      <c r="A137" s="219"/>
      <c r="B137" s="220"/>
      <c r="C137" s="380"/>
      <c r="D137" s="659"/>
      <c r="E137" s="659"/>
      <c r="F137" s="659"/>
      <c r="G137" s="659"/>
      <c r="H137" s="659"/>
      <c r="I137" s="388"/>
      <c r="J137" s="388"/>
      <c r="K137" s="396"/>
      <c r="L137" s="390"/>
      <c r="M137" s="391"/>
      <c r="N137" s="391"/>
      <c r="O137" s="391"/>
      <c r="P137" s="391"/>
      <c r="Q137" s="391"/>
      <c r="R137" s="391"/>
      <c r="S137" s="391"/>
      <c r="T137" s="380"/>
      <c r="U137" s="393"/>
      <c r="V137" s="395"/>
      <c r="W137" s="393"/>
      <c r="X137" s="394"/>
      <c r="Y137" s="387"/>
      <c r="Z137" s="387"/>
      <c r="AA137" s="387"/>
      <c r="AB137" s="387"/>
      <c r="AC137" s="387"/>
      <c r="AD137" s="387"/>
      <c r="AE137" s="387"/>
      <c r="AF137" s="387"/>
      <c r="AG137" s="387"/>
      <c r="AH137" s="387"/>
      <c r="AI137" s="387"/>
      <c r="AJ137" s="387"/>
    </row>
    <row r="138" spans="1:51" s="268" customFormat="1" ht="15.75" x14ac:dyDescent="0.25">
      <c r="A138" s="219" t="s">
        <v>87</v>
      </c>
      <c r="B138" s="220"/>
      <c r="C138" s="380"/>
      <c r="D138" s="660" t="s">
        <v>160</v>
      </c>
      <c r="E138" s="660"/>
      <c r="F138" s="660"/>
      <c r="G138" s="660"/>
      <c r="H138" s="660"/>
      <c r="I138" s="388"/>
      <c r="J138" s="388"/>
      <c r="K138" s="396"/>
      <c r="L138" s="390"/>
      <c r="M138" s="391"/>
      <c r="N138" s="391"/>
      <c r="O138" s="391"/>
      <c r="P138" s="391"/>
      <c r="Q138" s="391"/>
      <c r="R138" s="391"/>
      <c r="S138" s="391"/>
      <c r="T138" s="380"/>
      <c r="U138" s="393"/>
      <c r="V138" s="397"/>
      <c r="W138" s="398"/>
      <c r="X138" s="394"/>
      <c r="Y138" s="387"/>
      <c r="Z138" s="387"/>
      <c r="AA138" s="387"/>
      <c r="AB138" s="387"/>
      <c r="AC138" s="387"/>
      <c r="AD138" s="387"/>
      <c r="AE138" s="387"/>
      <c r="AF138" s="387"/>
      <c r="AG138" s="387"/>
      <c r="AH138" s="387"/>
      <c r="AI138" s="387"/>
      <c r="AJ138" s="387"/>
    </row>
    <row r="139" spans="1:51" s="268" customFormat="1" ht="15.75" x14ac:dyDescent="0.25">
      <c r="A139" s="399"/>
      <c r="B139" s="380"/>
      <c r="C139" s="380"/>
      <c r="D139" s="380"/>
      <c r="E139" s="380"/>
      <c r="F139" s="380"/>
      <c r="G139" s="380"/>
      <c r="H139" s="380"/>
      <c r="I139" s="388"/>
      <c r="J139" s="388"/>
      <c r="K139" s="396"/>
      <c r="L139" s="390"/>
      <c r="M139" s="391"/>
      <c r="N139" s="391"/>
      <c r="O139" s="391"/>
      <c r="P139" s="391"/>
      <c r="Q139" s="391"/>
      <c r="R139" s="391"/>
      <c r="S139" s="391"/>
      <c r="T139" s="380"/>
      <c r="U139" s="223"/>
      <c r="V139" s="400" t="s">
        <v>28</v>
      </c>
      <c r="W139" s="401"/>
      <c r="X139" s="394"/>
      <c r="Y139" s="387"/>
      <c r="Z139" s="387"/>
      <c r="AA139" s="387"/>
      <c r="AB139" s="387"/>
      <c r="AC139" s="387"/>
      <c r="AD139" s="387"/>
      <c r="AE139" s="387"/>
      <c r="AF139" s="387"/>
      <c r="AG139" s="387"/>
      <c r="AH139" s="387"/>
      <c r="AI139" s="387"/>
      <c r="AJ139" s="387"/>
    </row>
    <row r="140" spans="1:51" s="268" customFormat="1" ht="15.75" x14ac:dyDescent="0.25">
      <c r="A140" s="399"/>
      <c r="B140" s="380"/>
      <c r="C140" s="380"/>
      <c r="D140" s="380"/>
      <c r="E140" s="380"/>
      <c r="F140" s="380"/>
      <c r="G140" s="380"/>
      <c r="H140" s="380"/>
      <c r="I140" s="393"/>
      <c r="J140" s="388"/>
      <c r="K140" s="389"/>
      <c r="L140" s="390"/>
      <c r="M140" s="391"/>
      <c r="N140" s="391"/>
      <c r="O140" s="391"/>
      <c r="P140" s="391"/>
      <c r="Q140" s="391"/>
      <c r="R140" s="391"/>
      <c r="S140" s="391"/>
      <c r="T140" s="380"/>
      <c r="U140" s="223"/>
      <c r="V140" s="402" t="s">
        <v>76</v>
      </c>
      <c r="W140" s="393"/>
      <c r="X140" s="394"/>
      <c r="Y140" s="387"/>
      <c r="Z140" s="387"/>
      <c r="AA140" s="387"/>
      <c r="AB140" s="387"/>
      <c r="AC140" s="387"/>
      <c r="AD140" s="387"/>
      <c r="AE140" s="387"/>
      <c r="AF140" s="387"/>
      <c r="AG140" s="387"/>
      <c r="AH140" s="387"/>
      <c r="AI140" s="387"/>
      <c r="AJ140" s="387"/>
    </row>
    <row r="141" spans="1:51" s="268" customFormat="1" ht="11.25" customHeight="1" thickBot="1" x14ac:dyDescent="0.3">
      <c r="A141" s="403"/>
      <c r="B141" s="404"/>
      <c r="C141" s="404"/>
      <c r="D141" s="404"/>
      <c r="E141" s="404"/>
      <c r="F141" s="404"/>
      <c r="G141" s="404"/>
      <c r="H141" s="404"/>
      <c r="I141" s="405"/>
      <c r="J141" s="405"/>
      <c r="K141" s="406"/>
      <c r="L141" s="407"/>
      <c r="M141" s="405"/>
      <c r="N141" s="405"/>
      <c r="O141" s="405"/>
      <c r="P141" s="405"/>
      <c r="Q141" s="405"/>
      <c r="R141" s="405"/>
      <c r="S141" s="405"/>
      <c r="T141" s="408"/>
      <c r="U141" s="409"/>
      <c r="V141" s="410"/>
      <c r="W141" s="410"/>
      <c r="X141" s="411"/>
      <c r="Y141" s="387"/>
      <c r="Z141" s="387"/>
      <c r="AA141" s="387"/>
      <c r="AB141" s="387"/>
      <c r="AC141" s="387"/>
      <c r="AD141" s="387"/>
      <c r="AE141" s="387"/>
      <c r="AF141" s="387"/>
      <c r="AG141" s="387"/>
      <c r="AH141" s="387"/>
      <c r="AI141" s="387"/>
      <c r="AJ141" s="387"/>
    </row>
    <row r="142" spans="1:51" s="199" customFormat="1" ht="15.75" x14ac:dyDescent="0.25">
      <c r="A142" s="412"/>
      <c r="B142" s="412"/>
      <c r="C142" s="412"/>
      <c r="D142" s="412"/>
      <c r="E142" s="412"/>
      <c r="F142" s="412"/>
      <c r="G142" s="412"/>
      <c r="H142" s="412"/>
      <c r="I142" s="413"/>
      <c r="J142" s="413"/>
      <c r="K142" s="413"/>
      <c r="L142" s="414"/>
      <c r="M142" s="412"/>
      <c r="N142" s="412"/>
      <c r="O142" s="412"/>
      <c r="P142" s="412"/>
      <c r="Q142" s="412"/>
      <c r="R142" s="412"/>
      <c r="S142" s="412"/>
      <c r="T142" s="412"/>
      <c r="U142" s="413"/>
      <c r="V142" s="413"/>
      <c r="W142" s="413"/>
      <c r="X142" s="413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</row>
    <row r="143" spans="1:51" s="199" customFormat="1" ht="15.75" x14ac:dyDescent="0.25">
      <c r="A143" s="412"/>
      <c r="B143" s="412"/>
      <c r="C143" s="412"/>
      <c r="D143" s="412"/>
      <c r="E143" s="412"/>
      <c r="F143" s="412"/>
      <c r="G143" s="412"/>
      <c r="H143" s="412"/>
      <c r="I143" s="413"/>
      <c r="J143" s="413"/>
      <c r="K143" s="413"/>
      <c r="L143" s="414"/>
      <c r="M143" s="412"/>
      <c r="N143" s="412"/>
      <c r="O143" s="412"/>
      <c r="P143" s="412"/>
      <c r="Q143" s="412"/>
      <c r="R143" s="412"/>
      <c r="S143" s="412"/>
      <c r="T143" s="412"/>
      <c r="U143" s="413"/>
      <c r="V143" s="413"/>
      <c r="W143" s="413"/>
      <c r="X143" s="413"/>
      <c r="Y143" s="198"/>
      <c r="Z143" s="198"/>
      <c r="AA143" s="198"/>
      <c r="AB143" s="198"/>
      <c r="AC143" s="198"/>
      <c r="AD143" s="198"/>
      <c r="AE143" s="198"/>
      <c r="AF143" s="198"/>
      <c r="AG143" s="198"/>
      <c r="AH143" s="198"/>
      <c r="AI143" s="198"/>
      <c r="AJ143" s="198"/>
    </row>
    <row r="144" spans="1:51" s="199" customFormat="1" ht="15.75" x14ac:dyDescent="0.25">
      <c r="A144" s="412"/>
      <c r="B144" s="412"/>
      <c r="C144" s="412"/>
      <c r="D144" s="412"/>
      <c r="E144" s="412"/>
      <c r="F144" s="412"/>
      <c r="G144" s="412"/>
      <c r="H144" s="412"/>
      <c r="I144" s="413"/>
      <c r="J144" s="413"/>
      <c r="K144" s="413"/>
      <c r="L144" s="414"/>
      <c r="M144" s="412"/>
      <c r="N144" s="412"/>
      <c r="O144" s="412"/>
      <c r="P144" s="412"/>
      <c r="Q144" s="412"/>
      <c r="R144" s="412"/>
      <c r="S144" s="412"/>
      <c r="T144" s="412"/>
      <c r="U144" s="413"/>
      <c r="V144" s="413"/>
      <c r="W144" s="413"/>
      <c r="X144" s="413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198"/>
      <c r="AI144" s="198"/>
      <c r="AJ144" s="198"/>
    </row>
    <row r="145" spans="1:24" ht="15.75" x14ac:dyDescent="0.25">
      <c r="A145" s="412"/>
      <c r="B145" s="412"/>
      <c r="C145" s="412"/>
      <c r="D145" s="412"/>
      <c r="E145" s="412"/>
      <c r="F145" s="412"/>
      <c r="G145" s="412"/>
      <c r="H145" s="412"/>
      <c r="I145" s="413"/>
      <c r="J145" s="413"/>
      <c r="K145" s="413"/>
      <c r="L145" s="414"/>
      <c r="M145" s="412"/>
      <c r="N145" s="412"/>
      <c r="O145" s="412"/>
      <c r="P145" s="412"/>
      <c r="Q145" s="412"/>
      <c r="R145" s="412"/>
      <c r="S145" s="412"/>
      <c r="T145" s="412"/>
      <c r="U145" s="413"/>
      <c r="V145" s="413"/>
      <c r="W145" s="413"/>
      <c r="X145" s="413"/>
    </row>
  </sheetData>
  <mergeCells count="72">
    <mergeCell ref="A13:X13"/>
    <mergeCell ref="V3:X3"/>
    <mergeCell ref="A5:X5"/>
    <mergeCell ref="A6:X6"/>
    <mergeCell ref="A7:I7"/>
    <mergeCell ref="A9:I9"/>
    <mergeCell ref="V23:X23"/>
    <mergeCell ref="A14:I14"/>
    <mergeCell ref="J14:U14"/>
    <mergeCell ref="V14:X14"/>
    <mergeCell ref="A15:I15"/>
    <mergeCell ref="A16:I19"/>
    <mergeCell ref="V16:X16"/>
    <mergeCell ref="V17:X17"/>
    <mergeCell ref="V18:X18"/>
    <mergeCell ref="V19:X19"/>
    <mergeCell ref="A20:I20"/>
    <mergeCell ref="V20:X20"/>
    <mergeCell ref="V21:X21"/>
    <mergeCell ref="K22:U22"/>
    <mergeCell ref="V22:X22"/>
    <mergeCell ref="A26:I26"/>
    <mergeCell ref="A30:I30"/>
    <mergeCell ref="A31:X31"/>
    <mergeCell ref="A32:X32"/>
    <mergeCell ref="A33:H37"/>
    <mergeCell ref="I33:K37"/>
    <mergeCell ref="L33:V34"/>
    <mergeCell ref="W33:W35"/>
    <mergeCell ref="X33:X37"/>
    <mergeCell ref="L35:S37"/>
    <mergeCell ref="T35:T37"/>
    <mergeCell ref="U35:U37"/>
    <mergeCell ref="V35:V37"/>
    <mergeCell ref="W36:W37"/>
    <mergeCell ref="Y33:AJ35"/>
    <mergeCell ref="AK33:AK37"/>
    <mergeCell ref="AL33:AW35"/>
    <mergeCell ref="AX33:AX37"/>
    <mergeCell ref="AY33:AY37"/>
    <mergeCell ref="AJ36:AJ37"/>
    <mergeCell ref="Y36:Y37"/>
    <mergeCell ref="Z36:Z37"/>
    <mergeCell ref="AA36:AA37"/>
    <mergeCell ref="AB36:AB37"/>
    <mergeCell ref="AC36:AC37"/>
    <mergeCell ref="AD36:AD37"/>
    <mergeCell ref="AE36:AE37"/>
    <mergeCell ref="AF36:AF37"/>
    <mergeCell ref="AG36:AG37"/>
    <mergeCell ref="AH36:AH37"/>
    <mergeCell ref="AI36:AI37"/>
    <mergeCell ref="AW36:AW37"/>
    <mergeCell ref="AL36:AL37"/>
    <mergeCell ref="AM36:AM37"/>
    <mergeCell ref="AN36:AN37"/>
    <mergeCell ref="AO36:AO37"/>
    <mergeCell ref="AP36:AP37"/>
    <mergeCell ref="AQ36:AQ37"/>
    <mergeCell ref="AR36:AR37"/>
    <mergeCell ref="AS36:AS37"/>
    <mergeCell ref="AT36:AT37"/>
    <mergeCell ref="AU36:AU37"/>
    <mergeCell ref="AV36:AV37"/>
    <mergeCell ref="D137:H137"/>
    <mergeCell ref="D138:H138"/>
    <mergeCell ref="A38:H38"/>
    <mergeCell ref="I38:K38"/>
    <mergeCell ref="L38:S38"/>
    <mergeCell ref="D134:H134"/>
    <mergeCell ref="D135:H135"/>
    <mergeCell ref="D136:H136"/>
  </mergeCells>
  <phoneticPr fontId="31" type="noConversion"/>
  <pageMargins left="0.85" right="0" top="1" bottom="1.5" header="0.42" footer="0.31"/>
  <pageSetup paperSize="124" scale="57" orientation="portrait" r:id="rId1"/>
  <headerFooter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C0D05-BE84-4CA0-B441-15D849FCEF9A}">
  <sheetPr>
    <pageSetUpPr fitToPage="1"/>
  </sheetPr>
  <dimension ref="A1:AY91"/>
  <sheetViews>
    <sheetView showGridLines="0" topLeftCell="F47" zoomScale="70" zoomScaleNormal="70" zoomScaleSheetLayoutView="70" zoomScalePageLayoutView="40" workbookViewId="0">
      <selection activeCell="W46" sqref="W46"/>
    </sheetView>
  </sheetViews>
  <sheetFormatPr defaultColWidth="9.140625" defaultRowHeight="12.75" x14ac:dyDescent="0.2"/>
  <cols>
    <col min="1" max="6" width="3.7109375" style="415" customWidth="1"/>
    <col min="7" max="7" width="5.85546875" style="415" bestFit="1" customWidth="1"/>
    <col min="8" max="8" width="3.7109375" style="415" customWidth="1"/>
    <col min="9" max="9" width="2" style="176" customWidth="1"/>
    <col min="10" max="10" width="3.140625" style="176" customWidth="1"/>
    <col min="11" max="11" width="46.7109375" style="176" customWidth="1"/>
    <col min="12" max="12" width="4.140625" style="416" customWidth="1"/>
    <col min="13" max="15" width="4" style="415" customWidth="1"/>
    <col min="16" max="16" width="6.5703125" style="415" bestFit="1" customWidth="1"/>
    <col min="17" max="18" width="4" style="415" customWidth="1"/>
    <col min="19" max="19" width="6.7109375" style="415" bestFit="1" customWidth="1"/>
    <col min="20" max="20" width="8.5703125" style="415" customWidth="1"/>
    <col min="21" max="21" width="9.28515625" style="176" customWidth="1"/>
    <col min="22" max="22" width="14.28515625" style="176" customWidth="1"/>
    <col min="23" max="23" width="13.7109375" style="176" customWidth="1"/>
    <col min="24" max="24" width="9.5703125" style="176" customWidth="1"/>
    <col min="25" max="25" width="13.140625" style="175" customWidth="1"/>
    <col min="26" max="26" width="10.28515625" style="175" bestFit="1" customWidth="1"/>
    <col min="27" max="27" width="9.28515625" style="175" bestFit="1" customWidth="1"/>
    <col min="28" max="28" width="11.28515625" style="175" customWidth="1"/>
    <col min="29" max="29" width="12" style="175" customWidth="1"/>
    <col min="30" max="30" width="11.85546875" style="175" customWidth="1"/>
    <col min="31" max="31" width="10.28515625" style="175" customWidth="1"/>
    <col min="32" max="32" width="12" style="175" customWidth="1"/>
    <col min="33" max="34" width="8" style="175" customWidth="1"/>
    <col min="35" max="35" width="9.28515625" style="175" bestFit="1" customWidth="1"/>
    <col min="36" max="36" width="6.28515625" style="175" customWidth="1"/>
    <col min="37" max="37" width="12" style="176" customWidth="1"/>
    <col min="38" max="50" width="9.140625" style="176"/>
    <col min="51" max="51" width="10.28515625" style="176" bestFit="1" customWidth="1"/>
    <col min="52" max="16384" width="9.140625" style="176"/>
  </cols>
  <sheetData>
    <row r="1" spans="1:36" ht="14.25" customHeight="1" x14ac:dyDescent="0.2">
      <c r="A1" s="169"/>
      <c r="B1" s="170"/>
      <c r="C1" s="170"/>
      <c r="D1" s="170"/>
      <c r="E1" s="170"/>
      <c r="F1" s="170"/>
      <c r="G1" s="170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2"/>
      <c r="U1" s="171"/>
      <c r="V1" s="173"/>
      <c r="W1" s="171"/>
      <c r="X1" s="174"/>
    </row>
    <row r="2" spans="1:36" ht="18.75" customHeight="1" x14ac:dyDescent="0.4">
      <c r="A2" s="177"/>
      <c r="B2" s="178"/>
      <c r="C2" s="178"/>
      <c r="D2" s="178"/>
      <c r="E2" s="178"/>
      <c r="F2" s="178"/>
      <c r="G2" s="178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80"/>
      <c r="U2" s="179"/>
      <c r="V2" s="181"/>
      <c r="W2" s="179"/>
      <c r="X2" s="182"/>
    </row>
    <row r="3" spans="1:36" ht="24.75" customHeight="1" x14ac:dyDescent="0.2">
      <c r="A3" s="183"/>
      <c r="B3" s="184"/>
      <c r="C3" s="184"/>
      <c r="D3" s="184"/>
      <c r="E3" s="184"/>
      <c r="F3" s="184"/>
      <c r="G3" s="184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6"/>
      <c r="U3" s="185"/>
      <c r="V3" s="562" t="s">
        <v>21</v>
      </c>
      <c r="W3" s="563"/>
      <c r="X3" s="564"/>
    </row>
    <row r="4" spans="1:36" ht="32.25" customHeight="1" thickBot="1" x14ac:dyDescent="0.25">
      <c r="A4" s="187"/>
      <c r="B4" s="188"/>
      <c r="C4" s="188"/>
      <c r="D4" s="188"/>
      <c r="E4" s="188"/>
      <c r="F4" s="188"/>
      <c r="G4" s="188"/>
      <c r="H4" s="189"/>
      <c r="I4" s="189"/>
      <c r="J4" s="189"/>
      <c r="K4" s="190"/>
      <c r="L4" s="189"/>
      <c r="M4" s="189"/>
      <c r="N4" s="189"/>
      <c r="O4" s="189"/>
      <c r="P4" s="189"/>
      <c r="Q4" s="189"/>
      <c r="R4" s="189"/>
      <c r="S4" s="189"/>
      <c r="T4" s="190"/>
      <c r="U4" s="189"/>
      <c r="V4" s="191"/>
      <c r="W4" s="192">
        <v>1</v>
      </c>
      <c r="X4" s="193"/>
    </row>
    <row r="5" spans="1:36" ht="21" customHeight="1" x14ac:dyDescent="0.2">
      <c r="A5" s="565" t="s">
        <v>1</v>
      </c>
      <c r="B5" s="566"/>
      <c r="C5" s="566"/>
      <c r="D5" s="566"/>
      <c r="E5" s="566"/>
      <c r="F5" s="566"/>
      <c r="G5" s="566"/>
      <c r="H5" s="566"/>
      <c r="I5" s="566"/>
      <c r="J5" s="566"/>
      <c r="K5" s="566"/>
      <c r="L5" s="566"/>
      <c r="M5" s="566"/>
      <c r="N5" s="566"/>
      <c r="O5" s="566"/>
      <c r="P5" s="566"/>
      <c r="Q5" s="566"/>
      <c r="R5" s="566"/>
      <c r="S5" s="566"/>
      <c r="T5" s="566"/>
      <c r="U5" s="566"/>
      <c r="V5" s="566"/>
      <c r="W5" s="566"/>
      <c r="X5" s="567"/>
    </row>
    <row r="6" spans="1:36" ht="21" customHeight="1" x14ac:dyDescent="0.2">
      <c r="A6" s="568" t="s">
        <v>836</v>
      </c>
      <c r="B6" s="569"/>
      <c r="C6" s="569"/>
      <c r="D6" s="569"/>
      <c r="E6" s="569"/>
      <c r="F6" s="569"/>
      <c r="G6" s="569"/>
      <c r="H6" s="569"/>
      <c r="I6" s="569"/>
      <c r="J6" s="569"/>
      <c r="K6" s="569"/>
      <c r="L6" s="569"/>
      <c r="M6" s="569"/>
      <c r="N6" s="569"/>
      <c r="O6" s="569"/>
      <c r="P6" s="569"/>
      <c r="Q6" s="569"/>
      <c r="R6" s="569"/>
      <c r="S6" s="569"/>
      <c r="T6" s="569"/>
      <c r="U6" s="569"/>
      <c r="V6" s="569"/>
      <c r="W6" s="569"/>
      <c r="X6" s="570"/>
    </row>
    <row r="7" spans="1:36" s="199" customFormat="1" ht="15" customHeight="1" x14ac:dyDescent="0.25">
      <c r="A7" s="571" t="s">
        <v>45</v>
      </c>
      <c r="B7" s="572"/>
      <c r="C7" s="572"/>
      <c r="D7" s="572"/>
      <c r="E7" s="572"/>
      <c r="F7" s="572"/>
      <c r="G7" s="572"/>
      <c r="H7" s="572"/>
      <c r="I7" s="572"/>
      <c r="J7" s="195" t="s">
        <v>113</v>
      </c>
      <c r="K7" s="196" t="s">
        <v>114</v>
      </c>
      <c r="L7" s="196"/>
      <c r="M7" s="196"/>
      <c r="N7" s="196"/>
      <c r="O7" s="196"/>
      <c r="P7" s="196"/>
      <c r="Q7" s="196"/>
      <c r="R7" s="196"/>
      <c r="S7" s="196"/>
      <c r="T7" s="196"/>
      <c r="U7" s="196"/>
      <c r="V7" s="196"/>
      <c r="W7" s="196"/>
      <c r="X7" s="197"/>
      <c r="Y7" s="198"/>
      <c r="Z7" s="198"/>
      <c r="AA7" s="198"/>
      <c r="AB7" s="198"/>
      <c r="AC7" s="198"/>
      <c r="AD7" s="198"/>
      <c r="AE7" s="198"/>
      <c r="AF7" s="198"/>
      <c r="AG7" s="198"/>
      <c r="AH7" s="198"/>
      <c r="AI7" s="198"/>
      <c r="AJ7" s="198"/>
    </row>
    <row r="8" spans="1:36" s="199" customFormat="1" ht="15" customHeight="1" x14ac:dyDescent="0.25">
      <c r="A8" s="194" t="s">
        <v>115</v>
      </c>
      <c r="B8" s="195"/>
      <c r="C8" s="195"/>
      <c r="D8" s="195"/>
      <c r="E8" s="195"/>
      <c r="F8" s="195"/>
      <c r="G8" s="195"/>
      <c r="H8" s="195"/>
      <c r="I8" s="195"/>
      <c r="J8" s="195" t="s">
        <v>113</v>
      </c>
      <c r="K8" s="200" t="s">
        <v>554</v>
      </c>
      <c r="L8" s="200"/>
      <c r="T8" s="200"/>
      <c r="U8" s="200"/>
      <c r="V8" s="200"/>
      <c r="W8" s="200"/>
      <c r="X8" s="201"/>
      <c r="Y8" s="198"/>
      <c r="Z8" s="198"/>
      <c r="AA8" s="198"/>
      <c r="AB8" s="198"/>
      <c r="AC8" s="198"/>
      <c r="AD8" s="198"/>
      <c r="AE8" s="198"/>
      <c r="AF8" s="198"/>
      <c r="AG8" s="198"/>
      <c r="AH8" s="198"/>
      <c r="AI8" s="198"/>
      <c r="AJ8" s="198"/>
    </row>
    <row r="9" spans="1:36" s="199" customFormat="1" ht="15" customHeight="1" x14ac:dyDescent="0.25">
      <c r="A9" s="573" t="s">
        <v>116</v>
      </c>
      <c r="B9" s="574"/>
      <c r="C9" s="574"/>
      <c r="D9" s="574"/>
      <c r="E9" s="574"/>
      <c r="F9" s="574"/>
      <c r="G9" s="574"/>
      <c r="H9" s="574"/>
      <c r="I9" s="574"/>
      <c r="J9" s="203" t="s">
        <v>113</v>
      </c>
      <c r="K9" s="204" t="s">
        <v>618</v>
      </c>
      <c r="L9" s="196"/>
      <c r="M9" s="204"/>
      <c r="N9" s="204"/>
      <c r="O9" s="204"/>
      <c r="P9" s="204"/>
      <c r="Q9" s="204"/>
      <c r="R9" s="204"/>
      <c r="S9" s="204"/>
      <c r="T9" s="196"/>
      <c r="U9" s="196"/>
      <c r="V9" s="196"/>
      <c r="W9" s="196"/>
      <c r="X9" s="197"/>
      <c r="Y9" s="198"/>
      <c r="Z9" s="198"/>
      <c r="AA9" s="198"/>
      <c r="AB9" s="198"/>
      <c r="AC9" s="198"/>
      <c r="AD9" s="198"/>
      <c r="AE9" s="198"/>
      <c r="AF9" s="198"/>
      <c r="AG9" s="198"/>
      <c r="AH9" s="198"/>
      <c r="AI9" s="198"/>
      <c r="AJ9" s="198"/>
    </row>
    <row r="10" spans="1:36" s="199" customFormat="1" ht="14.25" customHeight="1" x14ac:dyDescent="0.25">
      <c r="A10" s="202" t="s">
        <v>117</v>
      </c>
      <c r="B10" s="203"/>
      <c r="C10" s="205"/>
      <c r="D10" s="205"/>
      <c r="E10" s="205"/>
      <c r="F10" s="205"/>
      <c r="G10" s="205"/>
      <c r="H10" s="205"/>
      <c r="I10" s="203"/>
      <c r="J10" s="195" t="s">
        <v>113</v>
      </c>
      <c r="K10" s="206" t="s">
        <v>627</v>
      </c>
      <c r="L10" s="196"/>
      <c r="M10" s="196"/>
      <c r="N10" s="196"/>
      <c r="O10" s="196"/>
      <c r="P10" s="196"/>
      <c r="Q10" s="196"/>
      <c r="R10" s="196"/>
      <c r="S10" s="196"/>
      <c r="T10" s="207"/>
      <c r="U10" s="196"/>
      <c r="V10" s="196"/>
      <c r="W10" s="196"/>
      <c r="X10" s="197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</row>
    <row r="11" spans="1:36" s="199" customFormat="1" ht="14.25" customHeight="1" x14ac:dyDescent="0.25">
      <c r="A11" s="208" t="s">
        <v>118</v>
      </c>
      <c r="B11" s="209"/>
      <c r="C11" s="210"/>
      <c r="D11" s="210"/>
      <c r="E11" s="210"/>
      <c r="F11" s="210"/>
      <c r="G11" s="210"/>
      <c r="H11" s="210"/>
      <c r="I11" s="209"/>
      <c r="J11" s="195" t="s">
        <v>119</v>
      </c>
      <c r="K11" s="206" t="s">
        <v>114</v>
      </c>
      <c r="L11" s="211"/>
      <c r="M11" s="211"/>
      <c r="N11" s="211"/>
      <c r="O11" s="211"/>
      <c r="P11" s="211"/>
      <c r="Q11" s="211"/>
      <c r="R11" s="211"/>
      <c r="S11" s="211"/>
      <c r="T11" s="212"/>
      <c r="U11" s="211"/>
      <c r="V11" s="211"/>
      <c r="W11" s="211"/>
      <c r="X11" s="213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</row>
    <row r="12" spans="1:36" s="199" customFormat="1" ht="15.75" x14ac:dyDescent="0.25">
      <c r="A12" s="208" t="s">
        <v>120</v>
      </c>
      <c r="B12" s="209"/>
      <c r="C12" s="210"/>
      <c r="D12" s="210"/>
      <c r="E12" s="210"/>
      <c r="F12" s="210"/>
      <c r="G12" s="210"/>
      <c r="H12" s="210"/>
      <c r="I12" s="209"/>
      <c r="J12" s="195" t="s">
        <v>113</v>
      </c>
      <c r="K12" s="214" t="s">
        <v>711</v>
      </c>
      <c r="L12" s="211"/>
      <c r="M12" s="211"/>
      <c r="N12" s="211"/>
      <c r="O12" s="211"/>
      <c r="P12" s="211"/>
      <c r="Q12" s="211"/>
      <c r="R12" s="211"/>
      <c r="S12" s="211"/>
      <c r="T12" s="212"/>
      <c r="U12" s="211"/>
      <c r="V12" s="211"/>
      <c r="W12" s="211"/>
      <c r="X12" s="213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</row>
    <row r="13" spans="1:36" s="199" customFormat="1" ht="18" customHeight="1" x14ac:dyDescent="0.25">
      <c r="A13" s="559" t="s">
        <v>121</v>
      </c>
      <c r="B13" s="560"/>
      <c r="C13" s="560"/>
      <c r="D13" s="560"/>
      <c r="E13" s="560"/>
      <c r="F13" s="560"/>
      <c r="G13" s="560"/>
      <c r="H13" s="560"/>
      <c r="I13" s="560"/>
      <c r="J13" s="560"/>
      <c r="K13" s="560"/>
      <c r="L13" s="560"/>
      <c r="M13" s="560"/>
      <c r="N13" s="560"/>
      <c r="O13" s="560"/>
      <c r="P13" s="560"/>
      <c r="Q13" s="560"/>
      <c r="R13" s="560"/>
      <c r="S13" s="560"/>
      <c r="T13" s="560"/>
      <c r="U13" s="560"/>
      <c r="V13" s="560"/>
      <c r="W13" s="560"/>
      <c r="X13" s="561"/>
    </row>
    <row r="14" spans="1:36" s="199" customFormat="1" ht="15.75" x14ac:dyDescent="0.25">
      <c r="A14" s="578" t="s">
        <v>122</v>
      </c>
      <c r="B14" s="579"/>
      <c r="C14" s="579"/>
      <c r="D14" s="579"/>
      <c r="E14" s="579"/>
      <c r="F14" s="579"/>
      <c r="G14" s="579"/>
      <c r="H14" s="579"/>
      <c r="I14" s="580"/>
      <c r="J14" s="581" t="s">
        <v>123</v>
      </c>
      <c r="K14" s="579"/>
      <c r="L14" s="579"/>
      <c r="M14" s="579"/>
      <c r="N14" s="579"/>
      <c r="O14" s="579"/>
      <c r="P14" s="579"/>
      <c r="Q14" s="579"/>
      <c r="R14" s="579"/>
      <c r="S14" s="579"/>
      <c r="T14" s="579"/>
      <c r="U14" s="579"/>
      <c r="V14" s="581" t="s">
        <v>124</v>
      </c>
      <c r="W14" s="579"/>
      <c r="X14" s="582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</row>
    <row r="15" spans="1:36" s="199" customFormat="1" ht="17.25" customHeight="1" x14ac:dyDescent="0.25">
      <c r="A15" s="573" t="s">
        <v>125</v>
      </c>
      <c r="B15" s="574"/>
      <c r="C15" s="574"/>
      <c r="D15" s="574"/>
      <c r="E15" s="574"/>
      <c r="F15" s="574"/>
      <c r="G15" s="574"/>
      <c r="H15" s="574"/>
      <c r="I15" s="583"/>
      <c r="J15" s="203" t="s">
        <v>119</v>
      </c>
      <c r="K15" s="200"/>
      <c r="L15" s="196"/>
      <c r="M15" s="196"/>
      <c r="N15" s="196"/>
      <c r="O15" s="196"/>
      <c r="P15" s="196"/>
      <c r="Q15" s="196"/>
      <c r="R15" s="196"/>
      <c r="S15" s="196"/>
      <c r="T15" s="207"/>
      <c r="U15" s="196"/>
      <c r="V15" s="215"/>
      <c r="W15" s="196"/>
      <c r="X15" s="197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</row>
    <row r="16" spans="1:36" s="199" customFormat="1" ht="15.75" customHeight="1" x14ac:dyDescent="0.25">
      <c r="A16" s="571" t="s">
        <v>126</v>
      </c>
      <c r="B16" s="572"/>
      <c r="C16" s="572"/>
      <c r="D16" s="572"/>
      <c r="E16" s="572"/>
      <c r="F16" s="572"/>
      <c r="G16" s="572"/>
      <c r="H16" s="572"/>
      <c r="I16" s="584"/>
      <c r="J16" s="216" t="s">
        <v>119</v>
      </c>
      <c r="K16" s="217" t="s">
        <v>127</v>
      </c>
      <c r="L16" s="217"/>
      <c r="M16" s="217"/>
      <c r="N16" s="217"/>
      <c r="O16" s="217"/>
      <c r="P16" s="217"/>
      <c r="Q16" s="217"/>
      <c r="R16" s="217"/>
      <c r="S16" s="217"/>
      <c r="T16" s="218"/>
      <c r="U16" s="217"/>
      <c r="V16" s="591"/>
      <c r="W16" s="592"/>
      <c r="X16" s="593"/>
      <c r="Y16" s="198"/>
      <c r="Z16" s="198"/>
      <c r="AA16" s="198"/>
      <c r="AB16" s="198"/>
      <c r="AC16" s="198"/>
      <c r="AD16" s="198"/>
      <c r="AE16" s="198"/>
      <c r="AF16" s="198"/>
      <c r="AG16" s="198"/>
      <c r="AH16" s="198"/>
      <c r="AI16" s="198"/>
      <c r="AJ16" s="198"/>
    </row>
    <row r="17" spans="1:51" s="199" customFormat="1" ht="15.75" customHeight="1" x14ac:dyDescent="0.25">
      <c r="A17" s="585"/>
      <c r="B17" s="586"/>
      <c r="C17" s="586"/>
      <c r="D17" s="586"/>
      <c r="E17" s="586"/>
      <c r="F17" s="586"/>
      <c r="G17" s="586"/>
      <c r="H17" s="586"/>
      <c r="I17" s="587"/>
      <c r="J17" s="222" t="s">
        <v>119</v>
      </c>
      <c r="K17" s="223" t="s">
        <v>128</v>
      </c>
      <c r="L17" s="223"/>
      <c r="M17" s="223"/>
      <c r="N17" s="223"/>
      <c r="O17" s="223"/>
      <c r="P17" s="223"/>
      <c r="Q17" s="223"/>
      <c r="R17" s="223"/>
      <c r="S17" s="223"/>
      <c r="T17" s="224"/>
      <c r="U17" s="223"/>
      <c r="V17" s="594"/>
      <c r="W17" s="595"/>
      <c r="X17" s="596"/>
      <c r="Y17" s="198"/>
      <c r="Z17" s="198"/>
      <c r="AA17" s="198"/>
      <c r="AB17" s="198"/>
      <c r="AC17" s="198"/>
      <c r="AD17" s="198"/>
      <c r="AE17" s="198"/>
      <c r="AF17" s="198"/>
      <c r="AG17" s="198"/>
      <c r="AH17" s="198"/>
      <c r="AI17" s="198"/>
      <c r="AJ17" s="198"/>
    </row>
    <row r="18" spans="1:51" s="199" customFormat="1" ht="13.5" customHeight="1" x14ac:dyDescent="0.25">
      <c r="A18" s="585"/>
      <c r="B18" s="586"/>
      <c r="C18" s="586"/>
      <c r="D18" s="586"/>
      <c r="E18" s="586"/>
      <c r="F18" s="586"/>
      <c r="G18" s="586"/>
      <c r="H18" s="586"/>
      <c r="I18" s="587"/>
      <c r="J18" s="222" t="s">
        <v>119</v>
      </c>
      <c r="K18" s="223" t="s">
        <v>129</v>
      </c>
      <c r="L18" s="223"/>
      <c r="M18" s="223"/>
      <c r="N18" s="223"/>
      <c r="O18" s="223"/>
      <c r="P18" s="223"/>
      <c r="Q18" s="223"/>
      <c r="R18" s="223"/>
      <c r="S18" s="223"/>
      <c r="T18" s="224"/>
      <c r="U18" s="223"/>
      <c r="V18" s="594"/>
      <c r="W18" s="595"/>
      <c r="X18" s="596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</row>
    <row r="19" spans="1:51" s="199" customFormat="1" ht="15.75" customHeight="1" x14ac:dyDescent="0.25">
      <c r="A19" s="588"/>
      <c r="B19" s="589"/>
      <c r="C19" s="589"/>
      <c r="D19" s="589"/>
      <c r="E19" s="589"/>
      <c r="F19" s="589"/>
      <c r="G19" s="589"/>
      <c r="H19" s="589"/>
      <c r="I19" s="590"/>
      <c r="J19" s="226" t="s">
        <v>119</v>
      </c>
      <c r="K19" s="211" t="s">
        <v>130</v>
      </c>
      <c r="L19" s="211"/>
      <c r="M19" s="211"/>
      <c r="N19" s="211"/>
      <c r="O19" s="211"/>
      <c r="P19" s="211"/>
      <c r="Q19" s="211"/>
      <c r="R19" s="211"/>
      <c r="S19" s="211"/>
      <c r="T19" s="212"/>
      <c r="U19" s="211"/>
      <c r="V19" s="597"/>
      <c r="W19" s="598"/>
      <c r="X19" s="599"/>
      <c r="Y19" s="198"/>
      <c r="Z19" s="198"/>
      <c r="AA19" s="198"/>
      <c r="AB19" s="198"/>
      <c r="AC19" s="198"/>
      <c r="AD19" s="198"/>
      <c r="AE19" s="198"/>
      <c r="AF19" s="198"/>
      <c r="AG19" s="198"/>
      <c r="AH19" s="198"/>
      <c r="AI19" s="198"/>
      <c r="AJ19" s="198"/>
    </row>
    <row r="20" spans="1:51" s="199" customFormat="1" ht="15.75" customHeight="1" x14ac:dyDescent="0.25">
      <c r="A20" s="585" t="s">
        <v>131</v>
      </c>
      <c r="B20" s="586"/>
      <c r="C20" s="586"/>
      <c r="D20" s="586"/>
      <c r="E20" s="586"/>
      <c r="F20" s="586"/>
      <c r="G20" s="586"/>
      <c r="H20" s="586"/>
      <c r="I20" s="587"/>
      <c r="J20" s="220" t="s">
        <v>119</v>
      </c>
      <c r="K20" s="200" t="s">
        <v>620</v>
      </c>
      <c r="L20" s="196"/>
      <c r="M20" s="196"/>
      <c r="N20" s="196"/>
      <c r="O20" s="196"/>
      <c r="P20" s="196"/>
      <c r="Q20" s="196"/>
      <c r="R20" s="196"/>
      <c r="S20" s="196"/>
      <c r="T20" s="207"/>
      <c r="U20" s="196"/>
      <c r="V20" s="575"/>
      <c r="W20" s="576"/>
      <c r="X20" s="577"/>
      <c r="Y20" s="198"/>
      <c r="Z20" s="198"/>
      <c r="AA20" s="198"/>
      <c r="AB20" s="198"/>
      <c r="AC20" s="198"/>
      <c r="AD20" s="198"/>
      <c r="AE20" s="198"/>
      <c r="AF20" s="198"/>
      <c r="AG20" s="198"/>
      <c r="AH20" s="198"/>
      <c r="AI20" s="198"/>
      <c r="AJ20" s="198"/>
    </row>
    <row r="21" spans="1:51" s="199" customFormat="1" ht="15.75" customHeight="1" x14ac:dyDescent="0.25">
      <c r="A21" s="219"/>
      <c r="B21" s="220"/>
      <c r="C21" s="220"/>
      <c r="D21" s="220"/>
      <c r="E21" s="220"/>
      <c r="F21" s="220"/>
      <c r="G21" s="220"/>
      <c r="H21" s="220"/>
      <c r="I21" s="221"/>
      <c r="J21" s="229"/>
      <c r="K21" s="200" t="s">
        <v>628</v>
      </c>
      <c r="L21" s="196"/>
      <c r="M21" s="196"/>
      <c r="N21" s="196"/>
      <c r="O21" s="196"/>
      <c r="P21" s="196"/>
      <c r="Q21" s="196"/>
      <c r="R21" s="196"/>
      <c r="S21" s="196"/>
      <c r="T21" s="207"/>
      <c r="U21" s="196"/>
      <c r="V21" s="575"/>
      <c r="W21" s="576"/>
      <c r="X21" s="577"/>
      <c r="Y21" s="198"/>
      <c r="Z21" s="198"/>
      <c r="AA21" s="198"/>
      <c r="AB21" s="198"/>
      <c r="AC21" s="198"/>
      <c r="AD21" s="198"/>
      <c r="AE21" s="198"/>
      <c r="AF21" s="198"/>
      <c r="AG21" s="198"/>
      <c r="AH21" s="198"/>
      <c r="AI21" s="198"/>
      <c r="AJ21" s="198"/>
    </row>
    <row r="22" spans="1:51" s="199" customFormat="1" ht="15.75" x14ac:dyDescent="0.25">
      <c r="A22" s="219"/>
      <c r="B22" s="220"/>
      <c r="C22" s="220"/>
      <c r="D22" s="220"/>
      <c r="E22" s="220"/>
      <c r="F22" s="220"/>
      <c r="G22" s="220"/>
      <c r="H22" s="220"/>
      <c r="I22" s="221"/>
      <c r="J22" s="229"/>
      <c r="K22" s="600" t="s">
        <v>707</v>
      </c>
      <c r="L22" s="600"/>
      <c r="M22" s="600"/>
      <c r="N22" s="600"/>
      <c r="O22" s="600"/>
      <c r="P22" s="600"/>
      <c r="Q22" s="600"/>
      <c r="R22" s="600"/>
      <c r="S22" s="600"/>
      <c r="T22" s="600"/>
      <c r="U22" s="601"/>
      <c r="V22" s="575"/>
      <c r="W22" s="576"/>
      <c r="X22" s="577"/>
      <c r="Y22" s="198"/>
      <c r="Z22" s="198"/>
      <c r="AA22" s="198"/>
      <c r="AB22" s="198"/>
      <c r="AC22" s="198"/>
      <c r="AD22" s="198"/>
      <c r="AE22" s="198"/>
      <c r="AF22" s="198"/>
      <c r="AG22" s="198"/>
      <c r="AH22" s="198"/>
      <c r="AI22" s="198"/>
      <c r="AJ22" s="198"/>
    </row>
    <row r="23" spans="1:51" s="199" customFormat="1" ht="15.75" customHeight="1" x14ac:dyDescent="0.25">
      <c r="A23" s="219"/>
      <c r="B23" s="220"/>
      <c r="C23" s="220"/>
      <c r="D23" s="220"/>
      <c r="E23" s="220"/>
      <c r="F23" s="220"/>
      <c r="G23" s="220"/>
      <c r="H23" s="220"/>
      <c r="I23" s="221"/>
      <c r="J23" s="229"/>
      <c r="K23" s="204" t="s">
        <v>708</v>
      </c>
      <c r="L23" s="211"/>
      <c r="M23" s="211"/>
      <c r="N23" s="211"/>
      <c r="O23" s="211"/>
      <c r="P23" s="211"/>
      <c r="Q23" s="211"/>
      <c r="R23" s="211"/>
      <c r="S23" s="211"/>
      <c r="T23" s="212"/>
      <c r="U23" s="211"/>
      <c r="V23" s="575"/>
      <c r="W23" s="576"/>
      <c r="X23" s="577"/>
      <c r="Y23" s="198"/>
      <c r="Z23" s="198"/>
      <c r="AA23" s="198"/>
      <c r="AB23" s="198"/>
      <c r="AC23" s="198"/>
      <c r="AD23" s="198"/>
      <c r="AE23" s="198"/>
      <c r="AF23" s="198"/>
      <c r="AG23" s="198"/>
      <c r="AH23" s="198"/>
      <c r="AI23" s="198"/>
      <c r="AJ23" s="198"/>
    </row>
    <row r="24" spans="1:51" s="199" customFormat="1" ht="16.5" customHeight="1" x14ac:dyDescent="0.25">
      <c r="A24" s="573" t="s">
        <v>132</v>
      </c>
      <c r="B24" s="574"/>
      <c r="C24" s="574"/>
      <c r="D24" s="574"/>
      <c r="E24" s="574"/>
      <c r="F24" s="574"/>
      <c r="G24" s="574"/>
      <c r="H24" s="574"/>
      <c r="I24" s="583"/>
      <c r="J24" s="203" t="s">
        <v>119</v>
      </c>
      <c r="K24" s="200"/>
      <c r="L24" s="196"/>
      <c r="M24" s="196"/>
      <c r="N24" s="196"/>
      <c r="O24" s="196"/>
      <c r="P24" s="196"/>
      <c r="Q24" s="196"/>
      <c r="R24" s="196"/>
      <c r="S24" s="196"/>
      <c r="T24" s="207"/>
      <c r="U24" s="196"/>
      <c r="V24" s="230"/>
      <c r="W24" s="196"/>
      <c r="X24" s="197"/>
      <c r="Y24" s="198"/>
      <c r="Z24" s="198"/>
      <c r="AA24" s="198"/>
      <c r="AB24" s="198"/>
      <c r="AC24" s="198"/>
      <c r="AD24" s="198"/>
      <c r="AE24" s="198"/>
      <c r="AF24" s="198"/>
      <c r="AG24" s="198"/>
      <c r="AH24" s="198"/>
      <c r="AI24" s="198"/>
      <c r="AJ24" s="198"/>
    </row>
    <row r="25" spans="1:51" s="199" customFormat="1" ht="16.5" customHeight="1" x14ac:dyDescent="0.25">
      <c r="A25" s="208"/>
      <c r="B25" s="209"/>
      <c r="C25" s="209"/>
      <c r="D25" s="209"/>
      <c r="E25" s="209"/>
      <c r="F25" s="209"/>
      <c r="G25" s="209"/>
      <c r="H25" s="209"/>
      <c r="I25" s="225"/>
      <c r="J25" s="209"/>
      <c r="K25" s="200"/>
      <c r="L25" s="211"/>
      <c r="M25" s="211"/>
      <c r="N25" s="211"/>
      <c r="O25" s="211"/>
      <c r="P25" s="211"/>
      <c r="Q25" s="211"/>
      <c r="R25" s="211"/>
      <c r="S25" s="211"/>
      <c r="T25" s="212"/>
      <c r="U25" s="211"/>
      <c r="V25" s="230"/>
      <c r="W25" s="211"/>
      <c r="X25" s="213"/>
      <c r="Y25" s="198"/>
      <c r="Z25" s="198"/>
      <c r="AA25" s="198"/>
      <c r="AB25" s="198"/>
      <c r="AC25" s="198"/>
      <c r="AD25" s="198"/>
      <c r="AE25" s="198"/>
      <c r="AF25" s="198"/>
      <c r="AG25" s="198"/>
      <c r="AH25" s="198"/>
      <c r="AI25" s="198"/>
      <c r="AJ25" s="198"/>
    </row>
    <row r="26" spans="1:51" s="199" customFormat="1" ht="16.5" customHeight="1" x14ac:dyDescent="0.25">
      <c r="A26" s="208"/>
      <c r="B26" s="209"/>
      <c r="C26" s="209"/>
      <c r="D26" s="209"/>
      <c r="E26" s="209"/>
      <c r="F26" s="209"/>
      <c r="G26" s="209"/>
      <c r="H26" s="209"/>
      <c r="I26" s="225"/>
      <c r="J26" s="209"/>
      <c r="K26" s="200"/>
      <c r="L26" s="211"/>
      <c r="M26" s="211"/>
      <c r="N26" s="211"/>
      <c r="O26" s="211"/>
      <c r="P26" s="211"/>
      <c r="Q26" s="211"/>
      <c r="R26" s="211"/>
      <c r="S26" s="211"/>
      <c r="T26" s="212"/>
      <c r="U26" s="211"/>
      <c r="V26" s="230"/>
      <c r="W26" s="211"/>
      <c r="X26" s="213"/>
      <c r="Y26" s="198"/>
      <c r="Z26" s="198"/>
      <c r="AA26" s="198"/>
      <c r="AB26" s="198"/>
      <c r="AC26" s="198"/>
      <c r="AD26" s="198"/>
      <c r="AE26" s="198"/>
      <c r="AF26" s="198"/>
      <c r="AG26" s="198"/>
      <c r="AH26" s="198"/>
      <c r="AI26" s="198"/>
      <c r="AJ26" s="198"/>
    </row>
    <row r="27" spans="1:51" s="199" customFormat="1" ht="16.5" customHeight="1" x14ac:dyDescent="0.25">
      <c r="A27" s="208"/>
      <c r="B27" s="209"/>
      <c r="C27" s="209"/>
      <c r="D27" s="209"/>
      <c r="E27" s="209"/>
      <c r="F27" s="209"/>
      <c r="G27" s="209"/>
      <c r="H27" s="209"/>
      <c r="I27" s="225"/>
      <c r="J27" s="209"/>
      <c r="K27" s="200"/>
      <c r="L27" s="211"/>
      <c r="M27" s="211"/>
      <c r="N27" s="211"/>
      <c r="O27" s="211"/>
      <c r="P27" s="211"/>
      <c r="Q27" s="211"/>
      <c r="R27" s="211"/>
      <c r="S27" s="211"/>
      <c r="T27" s="212"/>
      <c r="U27" s="211"/>
      <c r="V27" s="231"/>
      <c r="W27" s="211"/>
      <c r="X27" s="213"/>
      <c r="Y27" s="198"/>
      <c r="Z27" s="198"/>
      <c r="AA27" s="198"/>
      <c r="AB27" s="198"/>
      <c r="AC27" s="198"/>
      <c r="AD27" s="198"/>
      <c r="AE27" s="198"/>
      <c r="AF27" s="198"/>
      <c r="AG27" s="198"/>
      <c r="AH27" s="198"/>
      <c r="AI27" s="198"/>
      <c r="AJ27" s="198"/>
    </row>
    <row r="28" spans="1:51" s="199" customFormat="1" ht="18.75" customHeight="1" x14ac:dyDescent="0.25">
      <c r="A28" s="602" t="s">
        <v>133</v>
      </c>
      <c r="B28" s="603"/>
      <c r="C28" s="603"/>
      <c r="D28" s="603"/>
      <c r="E28" s="603"/>
      <c r="F28" s="603"/>
      <c r="G28" s="603"/>
      <c r="H28" s="603"/>
      <c r="I28" s="604"/>
      <c r="J28" s="209" t="s">
        <v>119</v>
      </c>
      <c r="K28" s="200"/>
      <c r="L28" s="211"/>
      <c r="M28" s="211"/>
      <c r="N28" s="211"/>
      <c r="O28" s="211"/>
      <c r="P28" s="211"/>
      <c r="Q28" s="211"/>
      <c r="R28" s="211"/>
      <c r="S28" s="211"/>
      <c r="T28" s="212"/>
      <c r="U28" s="211"/>
      <c r="V28" s="200"/>
      <c r="W28" s="232"/>
      <c r="X28" s="233"/>
      <c r="Y28" s="198"/>
      <c r="Z28" s="198"/>
      <c r="AA28" s="198"/>
      <c r="AB28" s="198"/>
      <c r="AC28" s="198"/>
      <c r="AD28" s="198"/>
      <c r="AE28" s="198"/>
      <c r="AF28" s="198"/>
      <c r="AG28" s="198"/>
      <c r="AH28" s="198"/>
      <c r="AI28" s="198"/>
      <c r="AJ28" s="198"/>
    </row>
    <row r="29" spans="1:51" s="199" customFormat="1" ht="15.75" x14ac:dyDescent="0.25">
      <c r="A29" s="605" t="s">
        <v>134</v>
      </c>
      <c r="B29" s="606"/>
      <c r="C29" s="606"/>
      <c r="D29" s="606"/>
      <c r="E29" s="606"/>
      <c r="F29" s="606"/>
      <c r="G29" s="606"/>
      <c r="H29" s="606"/>
      <c r="I29" s="606"/>
      <c r="J29" s="606"/>
      <c r="K29" s="606"/>
      <c r="L29" s="606"/>
      <c r="M29" s="606"/>
      <c r="N29" s="606"/>
      <c r="O29" s="606"/>
      <c r="P29" s="606"/>
      <c r="Q29" s="606"/>
      <c r="R29" s="606"/>
      <c r="S29" s="606"/>
      <c r="T29" s="606"/>
      <c r="U29" s="606"/>
      <c r="V29" s="606"/>
      <c r="W29" s="606"/>
      <c r="X29" s="607"/>
    </row>
    <row r="30" spans="1:51" s="199" customFormat="1" ht="16.5" thickBot="1" x14ac:dyDescent="0.3">
      <c r="A30" s="608" t="s">
        <v>135</v>
      </c>
      <c r="B30" s="609"/>
      <c r="C30" s="609"/>
      <c r="D30" s="609"/>
      <c r="E30" s="609"/>
      <c r="F30" s="609"/>
      <c r="G30" s="609"/>
      <c r="H30" s="609"/>
      <c r="I30" s="609"/>
      <c r="J30" s="609"/>
      <c r="K30" s="609"/>
      <c r="L30" s="609"/>
      <c r="M30" s="609"/>
      <c r="N30" s="609"/>
      <c r="O30" s="609"/>
      <c r="P30" s="609"/>
      <c r="Q30" s="609"/>
      <c r="R30" s="609"/>
      <c r="S30" s="609"/>
      <c r="T30" s="609"/>
      <c r="U30" s="609"/>
      <c r="V30" s="609"/>
      <c r="W30" s="609"/>
      <c r="X30" s="610"/>
    </row>
    <row r="31" spans="1:51" s="199" customFormat="1" ht="10.5" customHeight="1" x14ac:dyDescent="0.25">
      <c r="A31" s="611" t="s">
        <v>136</v>
      </c>
      <c r="B31" s="612"/>
      <c r="C31" s="612"/>
      <c r="D31" s="612"/>
      <c r="E31" s="612"/>
      <c r="F31" s="612"/>
      <c r="G31" s="612"/>
      <c r="H31" s="613"/>
      <c r="I31" s="620" t="s">
        <v>137</v>
      </c>
      <c r="J31" s="612"/>
      <c r="K31" s="613"/>
      <c r="L31" s="620" t="s">
        <v>138</v>
      </c>
      <c r="M31" s="612"/>
      <c r="N31" s="612"/>
      <c r="O31" s="612"/>
      <c r="P31" s="612"/>
      <c r="Q31" s="612"/>
      <c r="R31" s="612"/>
      <c r="S31" s="612"/>
      <c r="T31" s="612"/>
      <c r="U31" s="612"/>
      <c r="V31" s="613"/>
      <c r="W31" s="623" t="s">
        <v>139</v>
      </c>
      <c r="X31" s="625" t="s">
        <v>140</v>
      </c>
      <c r="Y31" s="636" t="s">
        <v>567</v>
      </c>
      <c r="Z31" s="636"/>
      <c r="AA31" s="636"/>
      <c r="AB31" s="636"/>
      <c r="AC31" s="636"/>
      <c r="AD31" s="636"/>
      <c r="AE31" s="636"/>
      <c r="AF31" s="636"/>
      <c r="AG31" s="636"/>
      <c r="AH31" s="636"/>
      <c r="AI31" s="636"/>
      <c r="AJ31" s="637"/>
      <c r="AK31" s="642" t="s">
        <v>139</v>
      </c>
      <c r="AL31" s="645" t="s">
        <v>568</v>
      </c>
      <c r="AM31" s="636"/>
      <c r="AN31" s="636"/>
      <c r="AO31" s="636"/>
      <c r="AP31" s="636"/>
      <c r="AQ31" s="636"/>
      <c r="AR31" s="636"/>
      <c r="AS31" s="636"/>
      <c r="AT31" s="636"/>
      <c r="AU31" s="636"/>
      <c r="AV31" s="636"/>
      <c r="AW31" s="637"/>
      <c r="AX31" s="642" t="s">
        <v>139</v>
      </c>
      <c r="AY31" s="648" t="s">
        <v>141</v>
      </c>
    </row>
    <row r="32" spans="1:51" s="199" customFormat="1" ht="6.75" customHeight="1" x14ac:dyDescent="0.25">
      <c r="A32" s="614"/>
      <c r="B32" s="615"/>
      <c r="C32" s="615"/>
      <c r="D32" s="615"/>
      <c r="E32" s="615"/>
      <c r="F32" s="615"/>
      <c r="G32" s="615"/>
      <c r="H32" s="616"/>
      <c r="I32" s="621"/>
      <c r="J32" s="615"/>
      <c r="K32" s="616"/>
      <c r="L32" s="621"/>
      <c r="M32" s="615"/>
      <c r="N32" s="615"/>
      <c r="O32" s="615"/>
      <c r="P32" s="615"/>
      <c r="Q32" s="615"/>
      <c r="R32" s="615"/>
      <c r="S32" s="615"/>
      <c r="T32" s="615"/>
      <c r="U32" s="615"/>
      <c r="V32" s="616"/>
      <c r="W32" s="624"/>
      <c r="X32" s="626"/>
      <c r="Y32" s="638"/>
      <c r="Z32" s="638"/>
      <c r="AA32" s="638"/>
      <c r="AB32" s="638"/>
      <c r="AC32" s="638"/>
      <c r="AD32" s="638"/>
      <c r="AE32" s="638"/>
      <c r="AF32" s="638"/>
      <c r="AG32" s="638"/>
      <c r="AH32" s="638"/>
      <c r="AI32" s="638"/>
      <c r="AJ32" s="639"/>
      <c r="AK32" s="643"/>
      <c r="AL32" s="646"/>
      <c r="AM32" s="638"/>
      <c r="AN32" s="638"/>
      <c r="AO32" s="638"/>
      <c r="AP32" s="638"/>
      <c r="AQ32" s="638"/>
      <c r="AR32" s="638"/>
      <c r="AS32" s="638"/>
      <c r="AT32" s="638"/>
      <c r="AU32" s="638"/>
      <c r="AV32" s="638"/>
      <c r="AW32" s="639"/>
      <c r="AX32" s="643"/>
      <c r="AY32" s="649"/>
    </row>
    <row r="33" spans="1:51" s="199" customFormat="1" ht="10.5" customHeight="1" thickBot="1" x14ac:dyDescent="0.3">
      <c r="A33" s="614"/>
      <c r="B33" s="615"/>
      <c r="C33" s="615"/>
      <c r="D33" s="615"/>
      <c r="E33" s="615"/>
      <c r="F33" s="615"/>
      <c r="G33" s="615"/>
      <c r="H33" s="616"/>
      <c r="I33" s="621"/>
      <c r="J33" s="615"/>
      <c r="K33" s="616"/>
      <c r="L33" s="628" t="s">
        <v>79</v>
      </c>
      <c r="M33" s="629"/>
      <c r="N33" s="629"/>
      <c r="O33" s="629"/>
      <c r="P33" s="629"/>
      <c r="Q33" s="629"/>
      <c r="R33" s="629"/>
      <c r="S33" s="630"/>
      <c r="T33" s="631" t="s">
        <v>80</v>
      </c>
      <c r="U33" s="631" t="s">
        <v>81</v>
      </c>
      <c r="V33" s="631" t="s">
        <v>82</v>
      </c>
      <c r="W33" s="624"/>
      <c r="X33" s="626"/>
      <c r="Y33" s="640"/>
      <c r="Z33" s="640"/>
      <c r="AA33" s="640"/>
      <c r="AB33" s="640"/>
      <c r="AC33" s="640"/>
      <c r="AD33" s="640"/>
      <c r="AE33" s="640"/>
      <c r="AF33" s="640"/>
      <c r="AG33" s="640"/>
      <c r="AH33" s="640"/>
      <c r="AI33" s="640"/>
      <c r="AJ33" s="641"/>
      <c r="AK33" s="643"/>
      <c r="AL33" s="647"/>
      <c r="AM33" s="640"/>
      <c r="AN33" s="640"/>
      <c r="AO33" s="640"/>
      <c r="AP33" s="640"/>
      <c r="AQ33" s="640"/>
      <c r="AR33" s="640"/>
      <c r="AS33" s="640"/>
      <c r="AT33" s="640"/>
      <c r="AU33" s="640"/>
      <c r="AV33" s="640"/>
      <c r="AW33" s="641"/>
      <c r="AX33" s="643"/>
      <c r="AY33" s="649"/>
    </row>
    <row r="34" spans="1:51" s="199" customFormat="1" ht="8.25" customHeight="1" thickBot="1" x14ac:dyDescent="0.3">
      <c r="A34" s="614"/>
      <c r="B34" s="615"/>
      <c r="C34" s="615"/>
      <c r="D34" s="615"/>
      <c r="E34" s="615"/>
      <c r="F34" s="615"/>
      <c r="G34" s="615"/>
      <c r="H34" s="616"/>
      <c r="I34" s="621"/>
      <c r="J34" s="615"/>
      <c r="K34" s="616"/>
      <c r="L34" s="621"/>
      <c r="M34" s="615"/>
      <c r="N34" s="615"/>
      <c r="O34" s="615"/>
      <c r="P34" s="615"/>
      <c r="Q34" s="615"/>
      <c r="R34" s="615"/>
      <c r="S34" s="616"/>
      <c r="T34" s="632"/>
      <c r="U34" s="632"/>
      <c r="V34" s="632"/>
      <c r="W34" s="634" t="s">
        <v>142</v>
      </c>
      <c r="X34" s="626"/>
      <c r="Y34" s="653" t="s">
        <v>50</v>
      </c>
      <c r="Z34" s="655" t="s">
        <v>53</v>
      </c>
      <c r="AA34" s="655" t="s">
        <v>55</v>
      </c>
      <c r="AB34" s="655" t="s">
        <v>57</v>
      </c>
      <c r="AC34" s="657" t="s">
        <v>59</v>
      </c>
      <c r="AD34" s="657" t="s">
        <v>61</v>
      </c>
      <c r="AE34" s="657" t="s">
        <v>101</v>
      </c>
      <c r="AF34" s="657" t="s">
        <v>107</v>
      </c>
      <c r="AG34" s="651" t="s">
        <v>143</v>
      </c>
      <c r="AH34" s="651" t="s">
        <v>144</v>
      </c>
      <c r="AI34" s="651" t="s">
        <v>145</v>
      </c>
      <c r="AJ34" s="651" t="s">
        <v>146</v>
      </c>
      <c r="AK34" s="643"/>
      <c r="AL34" s="655" t="s">
        <v>50</v>
      </c>
      <c r="AM34" s="655" t="s">
        <v>53</v>
      </c>
      <c r="AN34" s="655" t="s">
        <v>55</v>
      </c>
      <c r="AO34" s="655" t="s">
        <v>57</v>
      </c>
      <c r="AP34" s="657" t="s">
        <v>59</v>
      </c>
      <c r="AQ34" s="657" t="s">
        <v>61</v>
      </c>
      <c r="AR34" s="657" t="s">
        <v>101</v>
      </c>
      <c r="AS34" s="657" t="s">
        <v>107</v>
      </c>
      <c r="AT34" s="651" t="s">
        <v>143</v>
      </c>
      <c r="AU34" s="651" t="s">
        <v>144</v>
      </c>
      <c r="AV34" s="651" t="s">
        <v>145</v>
      </c>
      <c r="AW34" s="651" t="s">
        <v>146</v>
      </c>
      <c r="AX34" s="643"/>
      <c r="AY34" s="649"/>
    </row>
    <row r="35" spans="1:51" s="199" customFormat="1" ht="12.75" customHeight="1" thickBot="1" x14ac:dyDescent="0.3">
      <c r="A35" s="617"/>
      <c r="B35" s="618"/>
      <c r="C35" s="618"/>
      <c r="D35" s="618"/>
      <c r="E35" s="618"/>
      <c r="F35" s="618"/>
      <c r="G35" s="618"/>
      <c r="H35" s="619"/>
      <c r="I35" s="622"/>
      <c r="J35" s="618"/>
      <c r="K35" s="619"/>
      <c r="L35" s="622"/>
      <c r="M35" s="618"/>
      <c r="N35" s="618"/>
      <c r="O35" s="618"/>
      <c r="P35" s="618"/>
      <c r="Q35" s="618"/>
      <c r="R35" s="618"/>
      <c r="S35" s="619"/>
      <c r="T35" s="633"/>
      <c r="U35" s="633"/>
      <c r="V35" s="633"/>
      <c r="W35" s="635"/>
      <c r="X35" s="627"/>
      <c r="Y35" s="654"/>
      <c r="Z35" s="656"/>
      <c r="AA35" s="656"/>
      <c r="AB35" s="656"/>
      <c r="AC35" s="658"/>
      <c r="AD35" s="658"/>
      <c r="AE35" s="658"/>
      <c r="AF35" s="658"/>
      <c r="AG35" s="652"/>
      <c r="AH35" s="652"/>
      <c r="AI35" s="652"/>
      <c r="AJ35" s="652"/>
      <c r="AK35" s="644"/>
      <c r="AL35" s="656"/>
      <c r="AM35" s="656"/>
      <c r="AN35" s="656"/>
      <c r="AO35" s="656"/>
      <c r="AP35" s="658"/>
      <c r="AQ35" s="658"/>
      <c r="AR35" s="658"/>
      <c r="AS35" s="658"/>
      <c r="AT35" s="652"/>
      <c r="AU35" s="652"/>
      <c r="AV35" s="652"/>
      <c r="AW35" s="652"/>
      <c r="AX35" s="644"/>
      <c r="AY35" s="650"/>
    </row>
    <row r="36" spans="1:51" s="199" customFormat="1" ht="15.75" x14ac:dyDescent="0.25">
      <c r="A36" s="661">
        <v>1</v>
      </c>
      <c r="B36" s="662"/>
      <c r="C36" s="662"/>
      <c r="D36" s="662"/>
      <c r="E36" s="662"/>
      <c r="F36" s="662"/>
      <c r="G36" s="662"/>
      <c r="H36" s="663"/>
      <c r="I36" s="664">
        <v>2</v>
      </c>
      <c r="J36" s="665"/>
      <c r="K36" s="666"/>
      <c r="L36" s="664">
        <v>3</v>
      </c>
      <c r="M36" s="665"/>
      <c r="N36" s="665"/>
      <c r="O36" s="665"/>
      <c r="P36" s="665"/>
      <c r="Q36" s="665"/>
      <c r="R36" s="665"/>
      <c r="S36" s="665"/>
      <c r="T36" s="234">
        <v>4</v>
      </c>
      <c r="U36" s="235">
        <v>5</v>
      </c>
      <c r="V36" s="236">
        <v>6</v>
      </c>
      <c r="W36" s="237" t="s">
        <v>147</v>
      </c>
      <c r="X36" s="237">
        <v>8</v>
      </c>
      <c r="Y36" s="238"/>
      <c r="Z36" s="239"/>
      <c r="AA36" s="239"/>
      <c r="AB36" s="239"/>
      <c r="AC36" s="240"/>
      <c r="AD36" s="240"/>
      <c r="AE36" s="240"/>
      <c r="AF36" s="240"/>
      <c r="AG36" s="241"/>
      <c r="AH36" s="241"/>
      <c r="AI36" s="241"/>
      <c r="AJ36" s="242"/>
      <c r="AK36" s="243"/>
      <c r="AL36" s="244"/>
      <c r="AM36" s="239"/>
      <c r="AN36" s="239"/>
      <c r="AO36" s="239"/>
      <c r="AP36" s="240"/>
      <c r="AQ36" s="240"/>
      <c r="AR36" s="240"/>
      <c r="AS36" s="240"/>
      <c r="AT36" s="241"/>
      <c r="AU36" s="241"/>
      <c r="AV36" s="241"/>
      <c r="AW36" s="242"/>
      <c r="AX36" s="243"/>
      <c r="AY36" s="245"/>
    </row>
    <row r="37" spans="1:51" s="268" customFormat="1" ht="15" customHeight="1" x14ac:dyDescent="0.25">
      <c r="A37" s="246"/>
      <c r="B37" s="247" t="s">
        <v>59</v>
      </c>
      <c r="C37" s="247"/>
      <c r="D37" s="247"/>
      <c r="E37" s="247"/>
      <c r="F37" s="247"/>
      <c r="G37" s="247"/>
      <c r="H37" s="248"/>
      <c r="I37" s="249"/>
      <c r="J37" s="250" t="s">
        <v>148</v>
      </c>
      <c r="K37" s="251"/>
      <c r="L37" s="252"/>
      <c r="M37" s="253"/>
      <c r="N37" s="253"/>
      <c r="O37" s="253"/>
      <c r="P37" s="253"/>
      <c r="Q37" s="253"/>
      <c r="R37" s="253"/>
      <c r="S37" s="253"/>
      <c r="T37" s="254"/>
      <c r="U37" s="254"/>
      <c r="V37" s="255"/>
      <c r="W37" s="256">
        <f>W38</f>
        <v>61535400</v>
      </c>
      <c r="X37" s="257"/>
      <c r="Y37" s="258"/>
      <c r="Z37" s="259"/>
      <c r="AA37" s="260"/>
      <c r="AB37" s="261"/>
      <c r="AC37" s="262"/>
      <c r="AD37" s="262"/>
      <c r="AE37" s="262"/>
      <c r="AF37" s="262"/>
      <c r="AG37" s="263"/>
      <c r="AH37" s="263"/>
      <c r="AI37" s="263"/>
      <c r="AJ37" s="264"/>
      <c r="AK37" s="265"/>
      <c r="AL37" s="266"/>
      <c r="AM37" s="259"/>
      <c r="AN37" s="260"/>
      <c r="AO37" s="261"/>
      <c r="AP37" s="262"/>
      <c r="AQ37" s="262"/>
      <c r="AR37" s="262"/>
      <c r="AS37" s="262"/>
      <c r="AT37" s="263"/>
      <c r="AU37" s="263"/>
      <c r="AV37" s="263"/>
      <c r="AW37" s="264"/>
      <c r="AX37" s="265"/>
      <c r="AY37" s="267"/>
    </row>
    <row r="38" spans="1:51" s="268" customFormat="1" ht="15" customHeight="1" x14ac:dyDescent="0.25">
      <c r="A38" s="269"/>
      <c r="B38" s="270" t="s">
        <v>59</v>
      </c>
      <c r="C38" s="334" t="s">
        <v>53</v>
      </c>
      <c r="D38" s="271"/>
      <c r="E38" s="271"/>
      <c r="F38" s="272"/>
      <c r="G38" s="270"/>
      <c r="H38" s="273"/>
      <c r="I38" s="274"/>
      <c r="J38" s="275" t="s">
        <v>558</v>
      </c>
      <c r="K38" s="276"/>
      <c r="L38" s="277"/>
      <c r="M38" s="278"/>
      <c r="N38" s="278"/>
      <c r="O38" s="278"/>
      <c r="P38" s="278"/>
      <c r="Q38" s="278"/>
      <c r="R38" s="278"/>
      <c r="S38" s="278"/>
      <c r="T38" s="279"/>
      <c r="U38" s="279"/>
      <c r="V38" s="280"/>
      <c r="W38" s="281">
        <f t="shared" ref="W38" si="0">W39</f>
        <v>61535400</v>
      </c>
      <c r="X38" s="257"/>
      <c r="Y38" s="258"/>
      <c r="Z38" s="259"/>
      <c r="AA38" s="261"/>
      <c r="AB38" s="261"/>
      <c r="AC38" s="262"/>
      <c r="AD38" s="262"/>
      <c r="AE38" s="262"/>
      <c r="AF38" s="262"/>
      <c r="AG38" s="263"/>
      <c r="AH38" s="263"/>
      <c r="AI38" s="263"/>
      <c r="AJ38" s="264"/>
      <c r="AK38" s="265"/>
      <c r="AL38" s="266"/>
      <c r="AM38" s="259"/>
      <c r="AN38" s="261"/>
      <c r="AO38" s="261"/>
      <c r="AP38" s="262"/>
      <c r="AQ38" s="262"/>
      <c r="AR38" s="262"/>
      <c r="AS38" s="262"/>
      <c r="AT38" s="263"/>
      <c r="AU38" s="263"/>
      <c r="AV38" s="263"/>
      <c r="AW38" s="264"/>
      <c r="AX38" s="265"/>
      <c r="AY38" s="267"/>
    </row>
    <row r="39" spans="1:51" s="268" customFormat="1" ht="15" customHeight="1" x14ac:dyDescent="0.25">
      <c r="A39" s="269"/>
      <c r="B39" s="270" t="s">
        <v>59</v>
      </c>
      <c r="C39" s="334" t="s">
        <v>53</v>
      </c>
      <c r="D39" s="288" t="s">
        <v>67</v>
      </c>
      <c r="E39" s="271"/>
      <c r="F39" s="271"/>
      <c r="G39" s="270"/>
      <c r="H39" s="273"/>
      <c r="I39" s="282"/>
      <c r="J39" s="283" t="s">
        <v>621</v>
      </c>
      <c r="K39" s="284"/>
      <c r="L39" s="285"/>
      <c r="M39" s="286"/>
      <c r="N39" s="286"/>
      <c r="O39" s="286"/>
      <c r="P39" s="286"/>
      <c r="Q39" s="286"/>
      <c r="R39" s="286"/>
      <c r="S39" s="286"/>
      <c r="T39" s="279"/>
      <c r="U39" s="279"/>
      <c r="V39" s="280"/>
      <c r="W39" s="281">
        <f>W42+W49+W54+W61+W68</f>
        <v>61535400</v>
      </c>
      <c r="X39" s="287"/>
      <c r="Y39" s="258"/>
      <c r="Z39" s="259"/>
      <c r="AA39" s="261"/>
      <c r="AB39" s="261"/>
      <c r="AC39" s="262"/>
      <c r="AD39" s="262"/>
      <c r="AE39" s="262"/>
      <c r="AF39" s="262"/>
      <c r="AG39" s="263"/>
      <c r="AH39" s="263"/>
      <c r="AI39" s="263"/>
      <c r="AJ39" s="264"/>
      <c r="AK39" s="265"/>
      <c r="AL39" s="266"/>
      <c r="AM39" s="259"/>
      <c r="AN39" s="261"/>
      <c r="AO39" s="261"/>
      <c r="AP39" s="262"/>
      <c r="AQ39" s="262"/>
      <c r="AR39" s="262"/>
      <c r="AS39" s="262"/>
      <c r="AT39" s="263"/>
      <c r="AU39" s="263"/>
      <c r="AV39" s="263"/>
      <c r="AW39" s="264"/>
      <c r="AX39" s="265"/>
      <c r="AY39" s="267"/>
    </row>
    <row r="40" spans="1:51" s="305" customFormat="1" ht="15" customHeight="1" x14ac:dyDescent="0.25">
      <c r="A40" s="269"/>
      <c r="B40" s="270" t="s">
        <v>59</v>
      </c>
      <c r="C40" s="270" t="s">
        <v>53</v>
      </c>
      <c r="D40" s="288" t="s">
        <v>67</v>
      </c>
      <c r="E40" s="288" t="s">
        <v>144</v>
      </c>
      <c r="F40" s="271"/>
      <c r="G40" s="270"/>
      <c r="H40" s="273"/>
      <c r="I40" s="289"/>
      <c r="J40" s="275" t="s">
        <v>622</v>
      </c>
      <c r="K40" s="290"/>
      <c r="L40" s="291"/>
      <c r="M40" s="292"/>
      <c r="N40" s="292"/>
      <c r="O40" s="292"/>
      <c r="P40" s="292"/>
      <c r="Q40" s="292"/>
      <c r="R40" s="292"/>
      <c r="S40" s="292"/>
      <c r="T40" s="293"/>
      <c r="U40" s="293"/>
      <c r="V40" s="294"/>
      <c r="W40" s="295"/>
      <c r="X40" s="296"/>
      <c r="Y40" s="297"/>
      <c r="Z40" s="259"/>
      <c r="AA40" s="298"/>
      <c r="AB40" s="298"/>
      <c r="AC40" s="299"/>
      <c r="AD40" s="299"/>
      <c r="AE40" s="299"/>
      <c r="AF40" s="299"/>
      <c r="AG40" s="300"/>
      <c r="AH40" s="300"/>
      <c r="AI40" s="300"/>
      <c r="AJ40" s="301"/>
      <c r="AK40" s="302"/>
      <c r="AL40" s="303"/>
      <c r="AM40" s="259"/>
      <c r="AN40" s="298"/>
      <c r="AO40" s="298"/>
      <c r="AP40" s="299"/>
      <c r="AQ40" s="299"/>
      <c r="AR40" s="299"/>
      <c r="AS40" s="299"/>
      <c r="AT40" s="300"/>
      <c r="AU40" s="300"/>
      <c r="AV40" s="300"/>
      <c r="AW40" s="301"/>
      <c r="AX40" s="302"/>
      <c r="AY40" s="304"/>
    </row>
    <row r="41" spans="1:51" s="305" customFormat="1" ht="15" customHeight="1" x14ac:dyDescent="0.25">
      <c r="A41" s="269"/>
      <c r="B41" s="270" t="s">
        <v>59</v>
      </c>
      <c r="C41" s="270" t="s">
        <v>53</v>
      </c>
      <c r="D41" s="288" t="s">
        <v>67</v>
      </c>
      <c r="E41" s="288" t="s">
        <v>144</v>
      </c>
      <c r="F41" s="271" t="s">
        <v>65</v>
      </c>
      <c r="G41" s="270"/>
      <c r="H41" s="273"/>
      <c r="I41" s="289"/>
      <c r="J41" s="275" t="s">
        <v>623</v>
      </c>
      <c r="K41" s="290"/>
      <c r="L41" s="291"/>
      <c r="M41" s="292"/>
      <c r="N41" s="292"/>
      <c r="O41" s="292"/>
      <c r="P41" s="292"/>
      <c r="Q41" s="292"/>
      <c r="R41" s="292"/>
      <c r="S41" s="292"/>
      <c r="T41" s="293"/>
      <c r="U41" s="293"/>
      <c r="V41" s="294"/>
      <c r="W41" s="295"/>
      <c r="X41" s="296"/>
      <c r="Y41" s="297"/>
      <c r="Z41" s="259"/>
      <c r="AA41" s="298"/>
      <c r="AB41" s="298"/>
      <c r="AC41" s="299"/>
      <c r="AD41" s="299"/>
      <c r="AE41" s="299"/>
      <c r="AF41" s="299"/>
      <c r="AG41" s="300"/>
      <c r="AH41" s="300"/>
      <c r="AI41" s="300"/>
      <c r="AJ41" s="301"/>
      <c r="AK41" s="302"/>
      <c r="AL41" s="303"/>
      <c r="AM41" s="259"/>
      <c r="AN41" s="298"/>
      <c r="AO41" s="298"/>
      <c r="AP41" s="299"/>
      <c r="AQ41" s="299"/>
      <c r="AR41" s="299"/>
      <c r="AS41" s="299"/>
      <c r="AT41" s="300"/>
      <c r="AU41" s="300"/>
      <c r="AV41" s="300"/>
      <c r="AW41" s="301"/>
      <c r="AX41" s="302"/>
      <c r="AY41" s="304"/>
    </row>
    <row r="42" spans="1:51" s="330" customFormat="1" ht="15" customHeight="1" x14ac:dyDescent="0.25">
      <c r="A42" s="306"/>
      <c r="B42" s="307" t="s">
        <v>59</v>
      </c>
      <c r="C42" s="307" t="s">
        <v>53</v>
      </c>
      <c r="D42" s="309" t="s">
        <v>67</v>
      </c>
      <c r="E42" s="309" t="s">
        <v>144</v>
      </c>
      <c r="F42" s="308" t="s">
        <v>65</v>
      </c>
      <c r="G42" s="310" t="s">
        <v>624</v>
      </c>
      <c r="H42" s="311"/>
      <c r="I42" s="312"/>
      <c r="J42" s="313" t="s">
        <v>625</v>
      </c>
      <c r="K42" s="314"/>
      <c r="L42" s="315"/>
      <c r="M42" s="316"/>
      <c r="N42" s="316"/>
      <c r="O42" s="316"/>
      <c r="P42" s="316"/>
      <c r="Q42" s="316"/>
      <c r="R42" s="316"/>
      <c r="S42" s="316"/>
      <c r="T42" s="317"/>
      <c r="U42" s="317"/>
      <c r="V42" s="318"/>
      <c r="W42" s="319">
        <f>SUM(W43:W44)</f>
        <v>24000000</v>
      </c>
      <c r="X42" s="320"/>
      <c r="Y42" s="321"/>
      <c r="Z42" s="322"/>
      <c r="AA42" s="323"/>
      <c r="AB42" s="323"/>
      <c r="AC42" s="324"/>
      <c r="AD42" s="324"/>
      <c r="AE42" s="324"/>
      <c r="AF42" s="324"/>
      <c r="AG42" s="325"/>
      <c r="AH42" s="325"/>
      <c r="AI42" s="325"/>
      <c r="AJ42" s="326"/>
      <c r="AK42" s="327"/>
      <c r="AL42" s="328"/>
      <c r="AM42" s="322"/>
      <c r="AN42" s="323"/>
      <c r="AO42" s="323"/>
      <c r="AP42" s="324"/>
      <c r="AQ42" s="324"/>
      <c r="AR42" s="324"/>
      <c r="AS42" s="324"/>
      <c r="AT42" s="325"/>
      <c r="AU42" s="325"/>
      <c r="AV42" s="325"/>
      <c r="AW42" s="326"/>
      <c r="AX42" s="327"/>
      <c r="AY42" s="329"/>
    </row>
    <row r="43" spans="1:51" s="330" customFormat="1" ht="15" customHeight="1" x14ac:dyDescent="0.25">
      <c r="A43" s="306"/>
      <c r="B43" s="307"/>
      <c r="C43" s="307"/>
      <c r="D43" s="308"/>
      <c r="E43" s="308"/>
      <c r="F43" s="308"/>
      <c r="G43" s="307"/>
      <c r="H43" s="311"/>
      <c r="I43" s="312"/>
      <c r="J43" s="331" t="s">
        <v>815</v>
      </c>
      <c r="K43" s="314"/>
      <c r="L43" s="315"/>
      <c r="M43" s="316"/>
      <c r="N43" s="316"/>
      <c r="O43" s="316"/>
      <c r="P43" s="316"/>
      <c r="Q43" s="316"/>
      <c r="R43" s="316">
        <v>2</v>
      </c>
      <c r="S43" s="316" t="s">
        <v>626</v>
      </c>
      <c r="T43" s="317">
        <v>2</v>
      </c>
      <c r="U43" s="317" t="s">
        <v>626</v>
      </c>
      <c r="V43" s="318">
        <v>12000000</v>
      </c>
      <c r="W43" s="484">
        <f>T43*V43</f>
        <v>24000000</v>
      </c>
      <c r="X43" s="320" t="s">
        <v>566</v>
      </c>
      <c r="Y43" s="321"/>
      <c r="Z43" s="322"/>
      <c r="AA43" s="323"/>
      <c r="AB43" s="323"/>
      <c r="AC43" s="324"/>
      <c r="AD43" s="324"/>
      <c r="AE43" s="324"/>
      <c r="AF43" s="324">
        <f>W43</f>
        <v>24000000</v>
      </c>
      <c r="AG43" s="325"/>
      <c r="AH43" s="325"/>
      <c r="AI43" s="325"/>
      <c r="AJ43" s="326"/>
      <c r="AK43" s="332">
        <f t="shared" ref="AK43:AK44" si="1">SUM(Y43:AJ43)</f>
        <v>24000000</v>
      </c>
      <c r="AL43" s="328"/>
      <c r="AM43" s="322"/>
      <c r="AN43" s="323"/>
      <c r="AO43" s="323"/>
      <c r="AP43" s="324"/>
      <c r="AQ43" s="324"/>
      <c r="AR43" s="324"/>
      <c r="AS43" s="324"/>
      <c r="AT43" s="325"/>
      <c r="AU43" s="325"/>
      <c r="AV43" s="325"/>
      <c r="AW43" s="326"/>
      <c r="AX43" s="332">
        <f t="shared" ref="AX43" si="2">SUM(AL43:AW43)</f>
        <v>0</v>
      </c>
      <c r="AY43" s="333">
        <f t="shared" ref="AY43" si="3">AK43-AX43</f>
        <v>24000000</v>
      </c>
    </row>
    <row r="44" spans="1:51" s="330" customFormat="1" ht="15" customHeight="1" x14ac:dyDescent="0.25">
      <c r="A44" s="306"/>
      <c r="B44" s="307"/>
      <c r="C44" s="307"/>
      <c r="D44" s="308"/>
      <c r="E44" s="308"/>
      <c r="F44" s="308"/>
      <c r="G44" s="307"/>
      <c r="H44" s="311"/>
      <c r="I44" s="312"/>
      <c r="J44" s="331"/>
      <c r="K44" s="314"/>
      <c r="L44" s="315"/>
      <c r="M44" s="316"/>
      <c r="N44" s="316"/>
      <c r="O44" s="316"/>
      <c r="P44" s="316"/>
      <c r="Q44" s="316"/>
      <c r="R44" s="316"/>
      <c r="S44" s="316"/>
      <c r="T44" s="317"/>
      <c r="U44" s="317"/>
      <c r="V44" s="318"/>
      <c r="W44" s="484"/>
      <c r="X44" s="320"/>
      <c r="Y44" s="321"/>
      <c r="Z44" s="322"/>
      <c r="AA44" s="323"/>
      <c r="AB44" s="323"/>
      <c r="AC44" s="324">
        <f>W44</f>
        <v>0</v>
      </c>
      <c r="AD44" s="324"/>
      <c r="AE44" s="324"/>
      <c r="AF44" s="324"/>
      <c r="AG44" s="325"/>
      <c r="AH44" s="325"/>
      <c r="AI44" s="325"/>
      <c r="AJ44" s="326"/>
      <c r="AK44" s="332">
        <f t="shared" si="1"/>
        <v>0</v>
      </c>
      <c r="AL44" s="328"/>
      <c r="AM44" s="322"/>
      <c r="AN44" s="323"/>
      <c r="AO44" s="323"/>
      <c r="AP44" s="324"/>
      <c r="AQ44" s="324"/>
      <c r="AR44" s="324"/>
      <c r="AS44" s="324"/>
      <c r="AT44" s="325"/>
      <c r="AU44" s="325"/>
      <c r="AV44" s="325"/>
      <c r="AW44" s="326"/>
      <c r="AX44" s="332">
        <f t="shared" ref="AX44" si="4">SUM(AL44:AW44)</f>
        <v>0</v>
      </c>
      <c r="AY44" s="333">
        <f t="shared" ref="AY44" si="5">AK44-AX44</f>
        <v>0</v>
      </c>
    </row>
    <row r="45" spans="1:51" s="345" customFormat="1" ht="15" customHeight="1" x14ac:dyDescent="0.25">
      <c r="A45" s="269"/>
      <c r="B45" s="270" t="s">
        <v>59</v>
      </c>
      <c r="C45" s="334" t="s">
        <v>53</v>
      </c>
      <c r="D45" s="271"/>
      <c r="E45" s="271"/>
      <c r="F45" s="272"/>
      <c r="G45" s="270"/>
      <c r="H45" s="273"/>
      <c r="I45" s="274"/>
      <c r="J45" s="275" t="s">
        <v>558</v>
      </c>
      <c r="K45" s="276"/>
      <c r="L45" s="315"/>
      <c r="M45" s="316"/>
      <c r="N45" s="316"/>
      <c r="O45" s="316"/>
      <c r="P45" s="316"/>
      <c r="Q45" s="316"/>
      <c r="R45" s="316"/>
      <c r="S45" s="316"/>
      <c r="T45" s="317"/>
      <c r="U45" s="317"/>
      <c r="V45" s="318"/>
      <c r="W45" s="319"/>
      <c r="X45" s="348"/>
      <c r="Y45" s="453"/>
      <c r="Z45" s="454"/>
      <c r="AA45" s="454"/>
      <c r="AB45" s="454"/>
      <c r="AC45" s="455"/>
      <c r="AD45" s="455"/>
      <c r="AE45" s="455"/>
      <c r="AF45" s="455"/>
      <c r="AG45" s="456"/>
      <c r="AH45" s="456"/>
      <c r="AI45" s="456"/>
      <c r="AJ45" s="457"/>
      <c r="AK45" s="332">
        <f t="shared" ref="AK45:AK74" si="6">SUM(Y45:AJ45)</f>
        <v>0</v>
      </c>
      <c r="AL45" s="458"/>
      <c r="AM45" s="454"/>
      <c r="AN45" s="454"/>
      <c r="AO45" s="454"/>
      <c r="AP45" s="455"/>
      <c r="AQ45" s="455"/>
      <c r="AR45" s="455"/>
      <c r="AS45" s="455"/>
      <c r="AT45" s="456"/>
      <c r="AU45" s="456"/>
      <c r="AV45" s="456"/>
      <c r="AW45" s="457"/>
      <c r="AX45" s="343"/>
      <c r="AY45" s="344"/>
    </row>
    <row r="46" spans="1:51" s="345" customFormat="1" ht="15" customHeight="1" x14ac:dyDescent="0.25">
      <c r="A46" s="269"/>
      <c r="B46" s="270" t="s">
        <v>59</v>
      </c>
      <c r="C46" s="334" t="s">
        <v>53</v>
      </c>
      <c r="D46" s="288" t="s">
        <v>67</v>
      </c>
      <c r="E46" s="271"/>
      <c r="F46" s="271"/>
      <c r="G46" s="270"/>
      <c r="H46" s="273"/>
      <c r="I46" s="282"/>
      <c r="J46" s="283" t="s">
        <v>621</v>
      </c>
      <c r="K46" s="284"/>
      <c r="L46" s="315"/>
      <c r="M46" s="316"/>
      <c r="N46" s="316"/>
      <c r="O46" s="316"/>
      <c r="P46" s="316"/>
      <c r="Q46" s="316"/>
      <c r="R46" s="316"/>
      <c r="S46" s="316"/>
      <c r="T46" s="317"/>
      <c r="U46" s="317"/>
      <c r="V46" s="318"/>
      <c r="W46" s="319"/>
      <c r="X46" s="348"/>
      <c r="Y46" s="453"/>
      <c r="Z46" s="454"/>
      <c r="AA46" s="454"/>
      <c r="AB46" s="454"/>
      <c r="AC46" s="455"/>
      <c r="AD46" s="455"/>
      <c r="AE46" s="455"/>
      <c r="AF46" s="455"/>
      <c r="AG46" s="456"/>
      <c r="AH46" s="456"/>
      <c r="AI46" s="456"/>
      <c r="AJ46" s="457"/>
      <c r="AK46" s="332">
        <f t="shared" si="6"/>
        <v>0</v>
      </c>
      <c r="AL46" s="458"/>
      <c r="AM46" s="454"/>
      <c r="AN46" s="454"/>
      <c r="AO46" s="454"/>
      <c r="AP46" s="455"/>
      <c r="AQ46" s="455"/>
      <c r="AR46" s="455"/>
      <c r="AS46" s="455"/>
      <c r="AT46" s="456"/>
      <c r="AU46" s="456"/>
      <c r="AV46" s="456"/>
      <c r="AW46" s="457"/>
      <c r="AX46" s="343"/>
      <c r="AY46" s="344"/>
    </row>
    <row r="47" spans="1:51" s="345" customFormat="1" ht="15" customHeight="1" x14ac:dyDescent="0.25">
      <c r="A47" s="269"/>
      <c r="B47" s="270" t="s">
        <v>59</v>
      </c>
      <c r="C47" s="270" t="s">
        <v>53</v>
      </c>
      <c r="D47" s="288" t="s">
        <v>67</v>
      </c>
      <c r="E47" s="288" t="s">
        <v>71</v>
      </c>
      <c r="F47" s="271"/>
      <c r="G47" s="270"/>
      <c r="H47" s="273"/>
      <c r="I47" s="289"/>
      <c r="J47" s="283" t="s">
        <v>700</v>
      </c>
      <c r="K47" s="290"/>
      <c r="L47" s="315"/>
      <c r="M47" s="316"/>
      <c r="N47" s="316"/>
      <c r="O47" s="316"/>
      <c r="P47" s="316"/>
      <c r="Q47" s="316"/>
      <c r="R47" s="316"/>
      <c r="S47" s="316"/>
      <c r="T47" s="317"/>
      <c r="U47" s="317"/>
      <c r="V47" s="318"/>
      <c r="W47" s="319"/>
      <c r="X47" s="348"/>
      <c r="Y47" s="453"/>
      <c r="Z47" s="454"/>
      <c r="AA47" s="454"/>
      <c r="AB47" s="454"/>
      <c r="AC47" s="455"/>
      <c r="AD47" s="455"/>
      <c r="AE47" s="455"/>
      <c r="AF47" s="455"/>
      <c r="AG47" s="456"/>
      <c r="AH47" s="456"/>
      <c r="AI47" s="456"/>
      <c r="AJ47" s="457"/>
      <c r="AK47" s="332">
        <f t="shared" si="6"/>
        <v>0</v>
      </c>
      <c r="AL47" s="458"/>
      <c r="AM47" s="454"/>
      <c r="AN47" s="454"/>
      <c r="AO47" s="454"/>
      <c r="AP47" s="455"/>
      <c r="AQ47" s="455"/>
      <c r="AR47" s="455"/>
      <c r="AS47" s="455"/>
      <c r="AT47" s="456"/>
      <c r="AU47" s="456"/>
      <c r="AV47" s="456"/>
      <c r="AW47" s="457"/>
      <c r="AX47" s="343"/>
      <c r="AY47" s="344"/>
    </row>
    <row r="48" spans="1:51" s="345" customFormat="1" ht="15" customHeight="1" x14ac:dyDescent="0.25">
      <c r="A48" s="269"/>
      <c r="B48" s="270" t="s">
        <v>59</v>
      </c>
      <c r="C48" s="270" t="s">
        <v>53</v>
      </c>
      <c r="D48" s="288" t="s">
        <v>67</v>
      </c>
      <c r="E48" s="288" t="s">
        <v>71</v>
      </c>
      <c r="F48" s="271" t="s">
        <v>65</v>
      </c>
      <c r="G48" s="270"/>
      <c r="H48" s="273"/>
      <c r="I48" s="289"/>
      <c r="J48" s="283" t="s">
        <v>709</v>
      </c>
      <c r="K48" s="290"/>
      <c r="L48" s="315"/>
      <c r="M48" s="316"/>
      <c r="N48" s="316"/>
      <c r="O48" s="316"/>
      <c r="P48" s="316"/>
      <c r="Q48" s="316"/>
      <c r="R48" s="316"/>
      <c r="S48" s="316"/>
      <c r="T48" s="317"/>
      <c r="U48" s="317"/>
      <c r="V48" s="318"/>
      <c r="W48" s="319"/>
      <c r="X48" s="348"/>
      <c r="Y48" s="453"/>
      <c r="Z48" s="454"/>
      <c r="AA48" s="454"/>
      <c r="AB48" s="454"/>
      <c r="AC48" s="455"/>
      <c r="AD48" s="455"/>
      <c r="AE48" s="455"/>
      <c r="AF48" s="455"/>
      <c r="AG48" s="456"/>
      <c r="AH48" s="456"/>
      <c r="AI48" s="456"/>
      <c r="AJ48" s="457"/>
      <c r="AK48" s="332">
        <f t="shared" si="6"/>
        <v>0</v>
      </c>
      <c r="AL48" s="458"/>
      <c r="AM48" s="454"/>
      <c r="AN48" s="454"/>
      <c r="AO48" s="454"/>
      <c r="AP48" s="455"/>
      <c r="AQ48" s="455"/>
      <c r="AR48" s="455"/>
      <c r="AS48" s="455"/>
      <c r="AT48" s="456"/>
      <c r="AU48" s="456"/>
      <c r="AV48" s="456"/>
      <c r="AW48" s="457"/>
      <c r="AX48" s="343"/>
      <c r="AY48" s="344"/>
    </row>
    <row r="49" spans="1:51" s="345" customFormat="1" ht="15" customHeight="1" x14ac:dyDescent="0.25">
      <c r="A49" s="306"/>
      <c r="B49" s="307" t="s">
        <v>59</v>
      </c>
      <c r="C49" s="307" t="s">
        <v>53</v>
      </c>
      <c r="D49" s="309" t="s">
        <v>67</v>
      </c>
      <c r="E49" s="309" t="s">
        <v>71</v>
      </c>
      <c r="F49" s="308" t="s">
        <v>65</v>
      </c>
      <c r="G49" s="307" t="s">
        <v>571</v>
      </c>
      <c r="H49" s="311"/>
      <c r="I49" s="312"/>
      <c r="J49" s="331" t="s">
        <v>710</v>
      </c>
      <c r="K49" s="314"/>
      <c r="L49" s="315"/>
      <c r="M49" s="316"/>
      <c r="N49" s="316"/>
      <c r="O49" s="316"/>
      <c r="P49" s="316"/>
      <c r="Q49" s="316"/>
      <c r="R49" s="316"/>
      <c r="S49" s="316"/>
      <c r="T49" s="317"/>
      <c r="U49" s="317"/>
      <c r="V49" s="318"/>
      <c r="W49" s="319">
        <f>SUM(W50:W51)</f>
        <v>15000000</v>
      </c>
      <c r="X49" s="348"/>
      <c r="Y49" s="453"/>
      <c r="Z49" s="454"/>
      <c r="AA49" s="454"/>
      <c r="AB49" s="454"/>
      <c r="AC49" s="455"/>
      <c r="AD49" s="455"/>
      <c r="AE49" s="455"/>
      <c r="AF49" s="455"/>
      <c r="AG49" s="456"/>
      <c r="AH49" s="456"/>
      <c r="AI49" s="456"/>
      <c r="AJ49" s="457"/>
      <c r="AK49" s="332">
        <f t="shared" si="6"/>
        <v>0</v>
      </c>
      <c r="AL49" s="458"/>
      <c r="AM49" s="454"/>
      <c r="AN49" s="454"/>
      <c r="AO49" s="454"/>
      <c r="AP49" s="455"/>
      <c r="AQ49" s="455"/>
      <c r="AR49" s="455"/>
      <c r="AS49" s="455"/>
      <c r="AT49" s="456"/>
      <c r="AU49" s="456"/>
      <c r="AV49" s="456"/>
      <c r="AW49" s="457"/>
      <c r="AX49" s="343"/>
      <c r="AY49" s="344"/>
    </row>
    <row r="50" spans="1:51" s="345" customFormat="1" ht="15" customHeight="1" x14ac:dyDescent="0.25">
      <c r="A50" s="440"/>
      <c r="B50" s="441"/>
      <c r="C50" s="441"/>
      <c r="D50" s="442"/>
      <c r="E50" s="442"/>
      <c r="F50" s="442"/>
      <c r="G50" s="441"/>
      <c r="H50" s="443"/>
      <c r="I50" s="353"/>
      <c r="J50" s="331" t="s">
        <v>875</v>
      </c>
      <c r="K50" s="314"/>
      <c r="L50" s="315"/>
      <c r="M50" s="316"/>
      <c r="N50" s="316"/>
      <c r="O50" s="316"/>
      <c r="P50" s="316"/>
      <c r="Q50" s="316"/>
      <c r="R50" s="316">
        <v>1</v>
      </c>
      <c r="S50" s="316" t="s">
        <v>626</v>
      </c>
      <c r="T50" s="317">
        <v>1</v>
      </c>
      <c r="U50" s="317" t="s">
        <v>626</v>
      </c>
      <c r="V50" s="318">
        <v>6000000</v>
      </c>
      <c r="W50" s="484">
        <f t="shared" ref="W50:W51" si="7">V50*T50</f>
        <v>6000000</v>
      </c>
      <c r="X50" s="348" t="s">
        <v>649</v>
      </c>
      <c r="Y50" s="453"/>
      <c r="Z50" s="454"/>
      <c r="AA50" s="454"/>
      <c r="AB50" s="454"/>
      <c r="AC50" s="455"/>
      <c r="AD50" s="455"/>
      <c r="AE50" s="455">
        <f>W50</f>
        <v>6000000</v>
      </c>
      <c r="AF50" s="455"/>
      <c r="AG50" s="456"/>
      <c r="AH50" s="456"/>
      <c r="AI50" s="456"/>
      <c r="AJ50" s="457"/>
      <c r="AK50" s="332">
        <f t="shared" si="6"/>
        <v>6000000</v>
      </c>
      <c r="AL50" s="458"/>
      <c r="AM50" s="454"/>
      <c r="AN50" s="454"/>
      <c r="AO50" s="454"/>
      <c r="AP50" s="455"/>
      <c r="AQ50" s="455"/>
      <c r="AR50" s="455"/>
      <c r="AS50" s="455"/>
      <c r="AT50" s="456"/>
      <c r="AU50" s="456"/>
      <c r="AV50" s="456"/>
      <c r="AW50" s="457"/>
      <c r="AX50" s="343"/>
      <c r="AY50" s="344"/>
    </row>
    <row r="51" spans="1:51" s="345" customFormat="1" ht="15" customHeight="1" x14ac:dyDescent="0.25">
      <c r="A51" s="440"/>
      <c r="B51" s="441"/>
      <c r="C51" s="441"/>
      <c r="D51" s="442"/>
      <c r="E51" s="442"/>
      <c r="F51" s="442"/>
      <c r="G51" s="441"/>
      <c r="H51" s="443"/>
      <c r="I51" s="353"/>
      <c r="J51" s="331" t="s">
        <v>875</v>
      </c>
      <c r="K51" s="314"/>
      <c r="L51" s="315"/>
      <c r="M51" s="316"/>
      <c r="N51" s="316"/>
      <c r="O51" s="316"/>
      <c r="P51" s="316"/>
      <c r="Q51" s="316"/>
      <c r="R51" s="316">
        <v>1</v>
      </c>
      <c r="S51" s="316" t="s">
        <v>626</v>
      </c>
      <c r="T51" s="317">
        <v>1</v>
      </c>
      <c r="U51" s="317" t="s">
        <v>626</v>
      </c>
      <c r="V51" s="318">
        <v>9000000</v>
      </c>
      <c r="W51" s="484">
        <f t="shared" si="7"/>
        <v>9000000</v>
      </c>
      <c r="X51" s="348" t="s">
        <v>566</v>
      </c>
      <c r="Y51" s="453"/>
      <c r="Z51" s="454"/>
      <c r="AA51" s="454"/>
      <c r="AB51" s="454"/>
      <c r="AC51" s="455"/>
      <c r="AD51" s="455"/>
      <c r="AE51" s="455">
        <f>W51</f>
        <v>9000000</v>
      </c>
      <c r="AF51" s="455"/>
      <c r="AG51" s="456"/>
      <c r="AH51" s="456"/>
      <c r="AI51" s="456"/>
      <c r="AJ51" s="457"/>
      <c r="AK51" s="332">
        <f t="shared" si="6"/>
        <v>9000000</v>
      </c>
      <c r="AL51" s="458"/>
      <c r="AM51" s="454"/>
      <c r="AN51" s="454"/>
      <c r="AO51" s="454"/>
      <c r="AP51" s="455"/>
      <c r="AQ51" s="455"/>
      <c r="AR51" s="455"/>
      <c r="AS51" s="455"/>
      <c r="AT51" s="456"/>
      <c r="AU51" s="456"/>
      <c r="AV51" s="456"/>
      <c r="AW51" s="457"/>
      <c r="AX51" s="343"/>
      <c r="AY51" s="344"/>
    </row>
    <row r="52" spans="1:51" s="345" customFormat="1" ht="15" customHeight="1" x14ac:dyDescent="0.25">
      <c r="A52" s="440"/>
      <c r="B52" s="441"/>
      <c r="C52" s="441"/>
      <c r="D52" s="442"/>
      <c r="E52" s="442"/>
      <c r="F52" s="442"/>
      <c r="G52" s="441"/>
      <c r="H52" s="443"/>
      <c r="I52" s="312"/>
      <c r="J52" s="331"/>
      <c r="K52" s="314"/>
      <c r="L52" s="315"/>
      <c r="M52" s="316"/>
      <c r="N52" s="316"/>
      <c r="O52" s="316"/>
      <c r="P52" s="316"/>
      <c r="Q52" s="316"/>
      <c r="R52" s="316"/>
      <c r="S52" s="316"/>
      <c r="T52" s="317"/>
      <c r="U52" s="317"/>
      <c r="V52" s="318"/>
      <c r="W52" s="484"/>
      <c r="X52" s="348"/>
      <c r="Y52" s="453"/>
      <c r="Z52" s="454"/>
      <c r="AA52" s="454"/>
      <c r="AB52" s="454"/>
      <c r="AC52" s="455"/>
      <c r="AD52" s="455"/>
      <c r="AE52" s="455"/>
      <c r="AF52" s="455"/>
      <c r="AG52" s="456"/>
      <c r="AH52" s="456"/>
      <c r="AI52" s="456"/>
      <c r="AJ52" s="457"/>
      <c r="AK52" s="332"/>
      <c r="AL52" s="458"/>
      <c r="AM52" s="454"/>
      <c r="AN52" s="454"/>
      <c r="AO52" s="454"/>
      <c r="AP52" s="455"/>
      <c r="AQ52" s="455"/>
      <c r="AR52" s="455"/>
      <c r="AS52" s="455"/>
      <c r="AT52" s="456"/>
      <c r="AU52" s="456"/>
      <c r="AV52" s="456"/>
      <c r="AW52" s="457"/>
      <c r="AX52" s="343"/>
      <c r="AY52" s="344"/>
    </row>
    <row r="53" spans="1:51" s="345" customFormat="1" ht="15" customHeight="1" x14ac:dyDescent="0.25">
      <c r="A53" s="269"/>
      <c r="B53" s="270" t="s">
        <v>59</v>
      </c>
      <c r="C53" s="270" t="s">
        <v>53</v>
      </c>
      <c r="D53" s="288" t="s">
        <v>67</v>
      </c>
      <c r="E53" s="288" t="s">
        <v>71</v>
      </c>
      <c r="F53" s="271" t="s">
        <v>67</v>
      </c>
      <c r="G53" s="270"/>
      <c r="H53" s="273"/>
      <c r="I53" s="289"/>
      <c r="J53" s="331"/>
      <c r="K53" s="290"/>
      <c r="L53" s="315"/>
      <c r="M53" s="316"/>
      <c r="N53" s="316"/>
      <c r="O53" s="316"/>
      <c r="P53" s="316"/>
      <c r="Q53" s="316"/>
      <c r="R53" s="316"/>
      <c r="S53" s="316"/>
      <c r="T53" s="317"/>
      <c r="U53" s="317"/>
      <c r="V53" s="318"/>
      <c r="W53" s="319"/>
      <c r="X53" s="348"/>
      <c r="Y53" s="453"/>
      <c r="Z53" s="454"/>
      <c r="AA53" s="454"/>
      <c r="AB53" s="454"/>
      <c r="AC53" s="455"/>
      <c r="AD53" s="455"/>
      <c r="AE53" s="455"/>
      <c r="AF53" s="455"/>
      <c r="AG53" s="456"/>
      <c r="AH53" s="456"/>
      <c r="AI53" s="456"/>
      <c r="AJ53" s="457"/>
      <c r="AK53" s="332">
        <f t="shared" si="6"/>
        <v>0</v>
      </c>
      <c r="AL53" s="458"/>
      <c r="AM53" s="454"/>
      <c r="AN53" s="454"/>
      <c r="AO53" s="454"/>
      <c r="AP53" s="455"/>
      <c r="AQ53" s="455"/>
      <c r="AR53" s="455"/>
      <c r="AS53" s="455"/>
      <c r="AT53" s="456"/>
      <c r="AU53" s="456"/>
      <c r="AV53" s="456"/>
      <c r="AW53" s="457"/>
      <c r="AX53" s="343"/>
      <c r="AY53" s="344"/>
    </row>
    <row r="54" spans="1:51" s="345" customFormat="1" ht="15" customHeight="1" x14ac:dyDescent="0.25">
      <c r="A54" s="306"/>
      <c r="B54" s="307" t="s">
        <v>59</v>
      </c>
      <c r="C54" s="307" t="s">
        <v>53</v>
      </c>
      <c r="D54" s="309" t="s">
        <v>67</v>
      </c>
      <c r="E54" s="309" t="s">
        <v>71</v>
      </c>
      <c r="F54" s="308" t="s">
        <v>67</v>
      </c>
      <c r="G54" s="307" t="s">
        <v>562</v>
      </c>
      <c r="H54" s="311"/>
      <c r="I54" s="312"/>
      <c r="J54" s="283" t="s">
        <v>812</v>
      </c>
      <c r="K54" s="314"/>
      <c r="L54" s="315"/>
      <c r="M54" s="316"/>
      <c r="N54" s="316"/>
      <c r="O54" s="316"/>
      <c r="P54" s="316"/>
      <c r="Q54" s="316"/>
      <c r="R54" s="316"/>
      <c r="S54" s="316"/>
      <c r="T54" s="317"/>
      <c r="U54" s="317"/>
      <c r="V54" s="318"/>
      <c r="W54" s="319">
        <f>SUM(W56:W58)</f>
        <v>9500000</v>
      </c>
      <c r="X54" s="348"/>
      <c r="Y54" s="453"/>
      <c r="Z54" s="454"/>
      <c r="AA54" s="454"/>
      <c r="AB54" s="454"/>
      <c r="AC54" s="455"/>
      <c r="AD54" s="455"/>
      <c r="AE54" s="455"/>
      <c r="AF54" s="455"/>
      <c r="AG54" s="456"/>
      <c r="AH54" s="456"/>
      <c r="AI54" s="456"/>
      <c r="AJ54" s="457"/>
      <c r="AK54" s="332">
        <f t="shared" si="6"/>
        <v>0</v>
      </c>
      <c r="AL54" s="458"/>
      <c r="AM54" s="454"/>
      <c r="AN54" s="454"/>
      <c r="AO54" s="454"/>
      <c r="AP54" s="455"/>
      <c r="AQ54" s="455"/>
      <c r="AR54" s="455"/>
      <c r="AS54" s="455"/>
      <c r="AT54" s="456"/>
      <c r="AU54" s="456"/>
      <c r="AV54" s="456"/>
      <c r="AW54" s="457"/>
      <c r="AX54" s="343"/>
      <c r="AY54" s="344"/>
    </row>
    <row r="55" spans="1:51" s="345" customFormat="1" ht="15" customHeight="1" x14ac:dyDescent="0.25">
      <c r="A55" s="440"/>
      <c r="B55" s="441"/>
      <c r="C55" s="441"/>
      <c r="D55" s="459"/>
      <c r="E55" s="459"/>
      <c r="F55" s="442"/>
      <c r="G55" s="441"/>
      <c r="H55" s="443"/>
      <c r="I55" s="312"/>
      <c r="J55" s="331" t="s">
        <v>835</v>
      </c>
      <c r="K55" s="314"/>
      <c r="L55" s="315"/>
      <c r="M55" s="316"/>
      <c r="N55" s="316"/>
      <c r="O55" s="316"/>
      <c r="P55" s="316"/>
      <c r="Q55" s="316"/>
      <c r="R55" s="316"/>
      <c r="S55" s="316"/>
      <c r="T55" s="317"/>
      <c r="U55" s="317"/>
      <c r="V55" s="318"/>
      <c r="W55" s="484"/>
      <c r="X55" s="348"/>
      <c r="Y55" s="453"/>
      <c r="Z55" s="454"/>
      <c r="AA55" s="454"/>
      <c r="AB55" s="454"/>
      <c r="AC55" s="455"/>
      <c r="AD55" s="455">
        <f>W55</f>
        <v>0</v>
      </c>
      <c r="AE55" s="455"/>
      <c r="AF55" s="455"/>
      <c r="AG55" s="456"/>
      <c r="AH55" s="456"/>
      <c r="AI55" s="456"/>
      <c r="AJ55" s="457"/>
      <c r="AK55" s="332">
        <f t="shared" si="6"/>
        <v>0</v>
      </c>
      <c r="AL55" s="458"/>
      <c r="AM55" s="454"/>
      <c r="AN55" s="454"/>
      <c r="AO55" s="454"/>
      <c r="AP55" s="455"/>
      <c r="AQ55" s="455"/>
      <c r="AR55" s="455"/>
      <c r="AS55" s="455"/>
      <c r="AT55" s="456"/>
      <c r="AU55" s="456"/>
      <c r="AV55" s="456"/>
      <c r="AW55" s="457"/>
      <c r="AX55" s="343"/>
      <c r="AY55" s="344"/>
    </row>
    <row r="56" spans="1:51" s="345" customFormat="1" ht="15" customHeight="1" x14ac:dyDescent="0.25">
      <c r="A56" s="440"/>
      <c r="B56" s="441"/>
      <c r="C56" s="441"/>
      <c r="D56" s="459"/>
      <c r="E56" s="459"/>
      <c r="F56" s="442"/>
      <c r="G56" s="441"/>
      <c r="H56" s="443"/>
      <c r="I56" s="312"/>
      <c r="J56" s="331" t="s">
        <v>876</v>
      </c>
      <c r="K56" s="314"/>
      <c r="L56" s="315"/>
      <c r="M56" s="316"/>
      <c r="N56" s="316"/>
      <c r="O56" s="316"/>
      <c r="P56" s="316"/>
      <c r="Q56" s="316"/>
      <c r="R56" s="316">
        <v>3</v>
      </c>
      <c r="S56" s="316" t="s">
        <v>626</v>
      </c>
      <c r="T56" s="317">
        <v>3</v>
      </c>
      <c r="U56" s="317" t="s">
        <v>626</v>
      </c>
      <c r="V56" s="318">
        <v>1500000</v>
      </c>
      <c r="W56" s="484">
        <f>V56*T56</f>
        <v>4500000</v>
      </c>
      <c r="X56" s="348" t="s">
        <v>649</v>
      </c>
      <c r="Y56" s="453"/>
      <c r="Z56" s="454"/>
      <c r="AA56" s="454"/>
      <c r="AB56" s="454"/>
      <c r="AC56" s="455"/>
      <c r="AD56" s="455"/>
      <c r="AE56" s="455"/>
      <c r="AF56" s="455"/>
      <c r="AG56" s="456"/>
      <c r="AH56" s="456"/>
      <c r="AI56" s="456"/>
      <c r="AJ56" s="457"/>
      <c r="AK56" s="332"/>
      <c r="AL56" s="458"/>
      <c r="AM56" s="454"/>
      <c r="AN56" s="454"/>
      <c r="AO56" s="454"/>
      <c r="AP56" s="455"/>
      <c r="AQ56" s="455"/>
      <c r="AR56" s="455"/>
      <c r="AS56" s="455"/>
      <c r="AT56" s="456"/>
      <c r="AU56" s="456"/>
      <c r="AV56" s="456"/>
      <c r="AW56" s="457"/>
      <c r="AX56" s="343"/>
      <c r="AY56" s="344"/>
    </row>
    <row r="57" spans="1:51" s="345" customFormat="1" ht="15" customHeight="1" x14ac:dyDescent="0.25">
      <c r="A57" s="440"/>
      <c r="B57" s="441"/>
      <c r="C57" s="441"/>
      <c r="D57" s="459"/>
      <c r="E57" s="459"/>
      <c r="F57" s="442"/>
      <c r="G57" s="441"/>
      <c r="H57" s="443"/>
      <c r="I57" s="312"/>
      <c r="J57" s="331" t="s">
        <v>878</v>
      </c>
      <c r="K57" s="314"/>
      <c r="L57" s="315"/>
      <c r="M57" s="316"/>
      <c r="N57" s="316"/>
      <c r="O57" s="316"/>
      <c r="P57" s="316"/>
      <c r="Q57" s="316"/>
      <c r="R57" s="316">
        <v>1</v>
      </c>
      <c r="S57" s="316" t="s">
        <v>626</v>
      </c>
      <c r="T57" s="317">
        <v>1</v>
      </c>
      <c r="U57" s="317" t="s">
        <v>626</v>
      </c>
      <c r="V57" s="318">
        <v>1000000</v>
      </c>
      <c r="W57" s="484">
        <f t="shared" ref="W57:W58" si="8">V57*T57</f>
        <v>1000000</v>
      </c>
      <c r="X57" s="348" t="s">
        <v>649</v>
      </c>
      <c r="Y57" s="453"/>
      <c r="Z57" s="454"/>
      <c r="AA57" s="454"/>
      <c r="AB57" s="454"/>
      <c r="AC57" s="455"/>
      <c r="AD57" s="455"/>
      <c r="AE57" s="455"/>
      <c r="AF57" s="455"/>
      <c r="AG57" s="456"/>
      <c r="AH57" s="456"/>
      <c r="AI57" s="456"/>
      <c r="AJ57" s="457"/>
      <c r="AK57" s="332"/>
      <c r="AL57" s="458"/>
      <c r="AM57" s="454"/>
      <c r="AN57" s="454"/>
      <c r="AO57" s="454"/>
      <c r="AP57" s="455"/>
      <c r="AQ57" s="455"/>
      <c r="AR57" s="455"/>
      <c r="AS57" s="455"/>
      <c r="AT57" s="456"/>
      <c r="AU57" s="456"/>
      <c r="AV57" s="456"/>
      <c r="AW57" s="457"/>
      <c r="AX57" s="343"/>
      <c r="AY57" s="344"/>
    </row>
    <row r="58" spans="1:51" s="345" customFormat="1" ht="15" customHeight="1" x14ac:dyDescent="0.25">
      <c r="A58" s="440"/>
      <c r="B58" s="441"/>
      <c r="C58" s="441"/>
      <c r="D58" s="459"/>
      <c r="E58" s="459"/>
      <c r="F58" s="442"/>
      <c r="G58" s="441"/>
      <c r="H58" s="443"/>
      <c r="I58" s="312"/>
      <c r="J58" s="331" t="s">
        <v>877</v>
      </c>
      <c r="K58" s="314"/>
      <c r="L58" s="315"/>
      <c r="M58" s="316"/>
      <c r="N58" s="316"/>
      <c r="O58" s="316"/>
      <c r="P58" s="316"/>
      <c r="Q58" s="316"/>
      <c r="R58" s="316">
        <v>1</v>
      </c>
      <c r="S58" s="316" t="s">
        <v>865</v>
      </c>
      <c r="T58" s="317">
        <v>1</v>
      </c>
      <c r="U58" s="317" t="s">
        <v>865</v>
      </c>
      <c r="V58" s="318">
        <v>4000000</v>
      </c>
      <c r="W58" s="484">
        <f t="shared" si="8"/>
        <v>4000000</v>
      </c>
      <c r="X58" s="348" t="s">
        <v>649</v>
      </c>
      <c r="Y58" s="453"/>
      <c r="Z58" s="454"/>
      <c r="AA58" s="454"/>
      <c r="AB58" s="454"/>
      <c r="AC58" s="455"/>
      <c r="AD58" s="455"/>
      <c r="AE58" s="455"/>
      <c r="AF58" s="455"/>
      <c r="AG58" s="456"/>
      <c r="AH58" s="456"/>
      <c r="AI58" s="456"/>
      <c r="AJ58" s="457"/>
      <c r="AK58" s="332"/>
      <c r="AL58" s="458"/>
      <c r="AM58" s="454"/>
      <c r="AN58" s="454"/>
      <c r="AO58" s="454"/>
      <c r="AP58" s="455"/>
      <c r="AQ58" s="455"/>
      <c r="AR58" s="455"/>
      <c r="AS58" s="455"/>
      <c r="AT58" s="456"/>
      <c r="AU58" s="456"/>
      <c r="AV58" s="456"/>
      <c r="AW58" s="457"/>
      <c r="AX58" s="343"/>
      <c r="AY58" s="344"/>
    </row>
    <row r="59" spans="1:51" s="345" customFormat="1" ht="15" customHeight="1" x14ac:dyDescent="0.25">
      <c r="A59" s="440"/>
      <c r="B59" s="441"/>
      <c r="C59" s="441"/>
      <c r="D59" s="459"/>
      <c r="E59" s="459"/>
      <c r="F59" s="442"/>
      <c r="G59" s="441"/>
      <c r="H59" s="443"/>
      <c r="I59" s="312"/>
      <c r="J59" s="331"/>
      <c r="K59" s="314"/>
      <c r="L59" s="315"/>
      <c r="M59" s="316"/>
      <c r="N59" s="316"/>
      <c r="O59" s="316"/>
      <c r="P59" s="316"/>
      <c r="Q59" s="316"/>
      <c r="R59" s="316"/>
      <c r="S59" s="316"/>
      <c r="T59" s="317"/>
      <c r="U59" s="317"/>
      <c r="V59" s="318"/>
      <c r="W59" s="319"/>
      <c r="X59" s="348"/>
      <c r="Y59" s="453"/>
      <c r="Z59" s="454"/>
      <c r="AA59" s="454"/>
      <c r="AB59" s="454"/>
      <c r="AC59" s="455"/>
      <c r="AD59" s="455"/>
      <c r="AE59" s="455"/>
      <c r="AF59" s="455"/>
      <c r="AG59" s="456"/>
      <c r="AH59" s="456"/>
      <c r="AI59" s="456"/>
      <c r="AJ59" s="457"/>
      <c r="AK59" s="332">
        <f t="shared" si="6"/>
        <v>0</v>
      </c>
      <c r="AL59" s="458"/>
      <c r="AM59" s="454"/>
      <c r="AN59" s="454"/>
      <c r="AO59" s="454"/>
      <c r="AP59" s="455"/>
      <c r="AQ59" s="455"/>
      <c r="AR59" s="455"/>
      <c r="AS59" s="455"/>
      <c r="AT59" s="456"/>
      <c r="AU59" s="456"/>
      <c r="AV59" s="456"/>
      <c r="AW59" s="457"/>
      <c r="AX59" s="343"/>
      <c r="AY59" s="344"/>
    </row>
    <row r="60" spans="1:51" s="345" customFormat="1" ht="15" customHeight="1" x14ac:dyDescent="0.25">
      <c r="A60" s="440"/>
      <c r="B60" s="270" t="s">
        <v>59</v>
      </c>
      <c r="C60" s="270" t="s">
        <v>53</v>
      </c>
      <c r="D60" s="288" t="s">
        <v>67</v>
      </c>
      <c r="E60" s="288" t="s">
        <v>71</v>
      </c>
      <c r="F60" s="271" t="s">
        <v>67</v>
      </c>
      <c r="G60" s="270"/>
      <c r="H60" s="273"/>
      <c r="I60" s="289"/>
      <c r="J60" s="331"/>
      <c r="K60" s="290"/>
      <c r="L60" s="315"/>
      <c r="M60" s="316"/>
      <c r="N60" s="316"/>
      <c r="O60" s="316"/>
      <c r="P60" s="316"/>
      <c r="Q60" s="316"/>
      <c r="R60" s="316"/>
      <c r="S60" s="316"/>
      <c r="T60" s="317"/>
      <c r="U60" s="317"/>
      <c r="V60" s="318"/>
      <c r="W60" s="319"/>
      <c r="X60" s="348"/>
      <c r="Y60" s="453"/>
      <c r="Z60" s="454"/>
      <c r="AA60" s="454"/>
      <c r="AB60" s="454"/>
      <c r="AC60" s="455"/>
      <c r="AD60" s="455"/>
      <c r="AE60" s="455"/>
      <c r="AF60" s="455"/>
      <c r="AG60" s="456"/>
      <c r="AH60" s="456"/>
      <c r="AI60" s="456"/>
      <c r="AJ60" s="457"/>
      <c r="AK60" s="332">
        <f t="shared" si="6"/>
        <v>0</v>
      </c>
      <c r="AL60" s="458"/>
      <c r="AM60" s="454"/>
      <c r="AN60" s="454"/>
      <c r="AO60" s="454"/>
      <c r="AP60" s="455"/>
      <c r="AQ60" s="455"/>
      <c r="AR60" s="455"/>
      <c r="AS60" s="455"/>
      <c r="AT60" s="456"/>
      <c r="AU60" s="456"/>
      <c r="AV60" s="456"/>
      <c r="AW60" s="457"/>
      <c r="AX60" s="343"/>
      <c r="AY60" s="344"/>
    </row>
    <row r="61" spans="1:51" s="345" customFormat="1" ht="15" customHeight="1" x14ac:dyDescent="0.25">
      <c r="A61" s="269"/>
      <c r="B61" s="307" t="s">
        <v>59</v>
      </c>
      <c r="C61" s="307" t="s">
        <v>53</v>
      </c>
      <c r="D61" s="309" t="s">
        <v>67</v>
      </c>
      <c r="E61" s="309" t="s">
        <v>71</v>
      </c>
      <c r="F61" s="308" t="s">
        <v>67</v>
      </c>
      <c r="G61" s="307" t="s">
        <v>650</v>
      </c>
      <c r="H61" s="311"/>
      <c r="I61" s="312"/>
      <c r="J61" s="283" t="s">
        <v>812</v>
      </c>
      <c r="K61" s="314"/>
      <c r="L61" s="315"/>
      <c r="M61" s="316"/>
      <c r="N61" s="316"/>
      <c r="O61" s="316"/>
      <c r="P61" s="316"/>
      <c r="Q61" s="316"/>
      <c r="R61" s="316"/>
      <c r="S61" s="316"/>
      <c r="T61" s="317"/>
      <c r="U61" s="317"/>
      <c r="V61" s="318"/>
      <c r="W61" s="319">
        <f>SUM(W62:W65)</f>
        <v>6447500</v>
      </c>
      <c r="X61" s="348"/>
      <c r="Y61" s="453"/>
      <c r="Z61" s="454"/>
      <c r="AA61" s="454"/>
      <c r="AB61" s="454"/>
      <c r="AC61" s="455"/>
      <c r="AD61" s="455"/>
      <c r="AE61" s="455"/>
      <c r="AF61" s="455"/>
      <c r="AG61" s="456"/>
      <c r="AH61" s="456"/>
      <c r="AI61" s="456"/>
      <c r="AJ61" s="457"/>
      <c r="AK61" s="332">
        <f t="shared" si="6"/>
        <v>0</v>
      </c>
      <c r="AL61" s="458"/>
      <c r="AM61" s="454"/>
      <c r="AN61" s="454"/>
      <c r="AO61" s="454"/>
      <c r="AP61" s="455"/>
      <c r="AQ61" s="455"/>
      <c r="AR61" s="455"/>
      <c r="AS61" s="455"/>
      <c r="AT61" s="456"/>
      <c r="AU61" s="456"/>
      <c r="AV61" s="456"/>
      <c r="AW61" s="457"/>
      <c r="AX61" s="343"/>
      <c r="AY61" s="344"/>
    </row>
    <row r="62" spans="1:51" s="345" customFormat="1" ht="15" customHeight="1" x14ac:dyDescent="0.25">
      <c r="A62" s="306"/>
      <c r="B62" s="441"/>
      <c r="C62" s="441"/>
      <c r="D62" s="459"/>
      <c r="E62" s="459"/>
      <c r="F62" s="442"/>
      <c r="G62" s="441"/>
      <c r="H62" s="443"/>
      <c r="I62" s="312"/>
      <c r="J62" s="331" t="s">
        <v>872</v>
      </c>
      <c r="K62" s="314"/>
      <c r="L62" s="315"/>
      <c r="M62" s="316"/>
      <c r="N62" s="316"/>
      <c r="O62" s="316"/>
      <c r="P62" s="316"/>
      <c r="Q62" s="316"/>
      <c r="R62" s="316">
        <v>1</v>
      </c>
      <c r="S62" s="316" t="s">
        <v>626</v>
      </c>
      <c r="T62" s="317">
        <v>1</v>
      </c>
      <c r="U62" s="317" t="s">
        <v>626</v>
      </c>
      <c r="V62" s="318">
        <v>3700000</v>
      </c>
      <c r="W62" s="484">
        <f t="shared" ref="W62:W65" si="9">V62*T62</f>
        <v>3700000</v>
      </c>
      <c r="X62" s="348" t="s">
        <v>649</v>
      </c>
      <c r="Y62" s="453"/>
      <c r="Z62" s="454"/>
      <c r="AA62" s="454"/>
      <c r="AB62" s="454"/>
      <c r="AC62" s="455"/>
      <c r="AD62" s="455"/>
      <c r="AE62" s="455"/>
      <c r="AF62" s="455"/>
      <c r="AG62" s="456"/>
      <c r="AH62" s="456"/>
      <c r="AI62" s="456"/>
      <c r="AJ62" s="457"/>
      <c r="AK62" s="332">
        <f t="shared" si="6"/>
        <v>0</v>
      </c>
      <c r="AL62" s="458"/>
      <c r="AM62" s="454"/>
      <c r="AN62" s="454"/>
      <c r="AO62" s="454"/>
      <c r="AP62" s="455"/>
      <c r="AQ62" s="455"/>
      <c r="AR62" s="455"/>
      <c r="AS62" s="455"/>
      <c r="AT62" s="456"/>
      <c r="AU62" s="456"/>
      <c r="AV62" s="456"/>
      <c r="AW62" s="457"/>
      <c r="AX62" s="343"/>
      <c r="AY62" s="344"/>
    </row>
    <row r="63" spans="1:51" s="345" customFormat="1" ht="15" customHeight="1" x14ac:dyDescent="0.25">
      <c r="A63" s="440"/>
      <c r="B63" s="441"/>
      <c r="C63" s="441"/>
      <c r="D63" s="442"/>
      <c r="E63" s="442"/>
      <c r="F63" s="442"/>
      <c r="G63" s="441"/>
      <c r="H63" s="443"/>
      <c r="I63" s="353"/>
      <c r="J63" s="331" t="s">
        <v>873</v>
      </c>
      <c r="K63" s="314"/>
      <c r="L63" s="315"/>
      <c r="M63" s="316"/>
      <c r="N63" s="316"/>
      <c r="O63" s="316"/>
      <c r="P63" s="316"/>
      <c r="Q63" s="316"/>
      <c r="R63" s="316">
        <v>1</v>
      </c>
      <c r="S63" s="316" t="s">
        <v>626</v>
      </c>
      <c r="T63" s="317">
        <v>1</v>
      </c>
      <c r="U63" s="317" t="s">
        <v>626</v>
      </c>
      <c r="V63" s="318">
        <v>1519000</v>
      </c>
      <c r="W63" s="484">
        <f t="shared" si="9"/>
        <v>1519000</v>
      </c>
      <c r="X63" s="348" t="s">
        <v>649</v>
      </c>
      <c r="Y63" s="453"/>
      <c r="Z63" s="454"/>
      <c r="AA63" s="454"/>
      <c r="AB63" s="454"/>
      <c r="AC63" s="455"/>
      <c r="AD63" s="455">
        <f>W63</f>
        <v>1519000</v>
      </c>
      <c r="AE63" s="455"/>
      <c r="AF63" s="455"/>
      <c r="AG63" s="456"/>
      <c r="AH63" s="456"/>
      <c r="AI63" s="456"/>
      <c r="AJ63" s="457"/>
      <c r="AK63" s="332">
        <f t="shared" si="6"/>
        <v>1519000</v>
      </c>
      <c r="AL63" s="458"/>
      <c r="AM63" s="454"/>
      <c r="AN63" s="454"/>
      <c r="AO63" s="454"/>
      <c r="AP63" s="455"/>
      <c r="AQ63" s="455"/>
      <c r="AR63" s="455"/>
      <c r="AS63" s="455"/>
      <c r="AT63" s="456"/>
      <c r="AU63" s="456"/>
      <c r="AV63" s="456"/>
      <c r="AW63" s="457"/>
      <c r="AX63" s="343"/>
      <c r="AY63" s="344"/>
    </row>
    <row r="64" spans="1:51" s="345" customFormat="1" ht="15" customHeight="1" x14ac:dyDescent="0.25">
      <c r="A64" s="440"/>
      <c r="B64" s="441"/>
      <c r="C64" s="441"/>
      <c r="D64" s="442"/>
      <c r="E64" s="442"/>
      <c r="F64" s="442"/>
      <c r="G64" s="441"/>
      <c r="H64" s="443"/>
      <c r="I64" s="353"/>
      <c r="J64" s="331" t="s">
        <v>811</v>
      </c>
      <c r="K64" s="314"/>
      <c r="L64" s="315"/>
      <c r="M64" s="316"/>
      <c r="N64" s="316"/>
      <c r="O64" s="316"/>
      <c r="P64" s="316"/>
      <c r="Q64" s="316"/>
      <c r="R64" s="316">
        <v>1</v>
      </c>
      <c r="S64" s="316" t="s">
        <v>626</v>
      </c>
      <c r="T64" s="317">
        <v>1</v>
      </c>
      <c r="U64" s="317" t="s">
        <v>626</v>
      </c>
      <c r="V64" s="318">
        <v>478500</v>
      </c>
      <c r="W64" s="484">
        <f t="shared" si="9"/>
        <v>478500</v>
      </c>
      <c r="X64" s="348" t="s">
        <v>649</v>
      </c>
      <c r="Y64" s="453"/>
      <c r="Z64" s="454"/>
      <c r="AA64" s="454"/>
      <c r="AB64" s="454"/>
      <c r="AC64" s="455"/>
      <c r="AD64" s="455"/>
      <c r="AE64" s="455"/>
      <c r="AF64" s="455"/>
      <c r="AG64" s="456"/>
      <c r="AH64" s="456"/>
      <c r="AI64" s="456"/>
      <c r="AJ64" s="457"/>
      <c r="AK64" s="332"/>
      <c r="AL64" s="458"/>
      <c r="AM64" s="454"/>
      <c r="AN64" s="454"/>
      <c r="AO64" s="454"/>
      <c r="AP64" s="455"/>
      <c r="AQ64" s="455"/>
      <c r="AR64" s="455"/>
      <c r="AS64" s="455"/>
      <c r="AT64" s="456"/>
      <c r="AU64" s="456"/>
      <c r="AV64" s="456"/>
      <c r="AW64" s="457"/>
      <c r="AX64" s="343"/>
      <c r="AY64" s="344"/>
    </row>
    <row r="65" spans="1:51" s="345" customFormat="1" ht="15" customHeight="1" x14ac:dyDescent="0.25">
      <c r="A65" s="440"/>
      <c r="B65" s="441"/>
      <c r="C65" s="441"/>
      <c r="D65" s="442"/>
      <c r="E65" s="442"/>
      <c r="F65" s="442"/>
      <c r="G65" s="441"/>
      <c r="H65" s="443"/>
      <c r="I65" s="353"/>
      <c r="J65" s="331" t="s">
        <v>874</v>
      </c>
      <c r="K65" s="314"/>
      <c r="L65" s="315"/>
      <c r="M65" s="316"/>
      <c r="N65" s="316"/>
      <c r="O65" s="316"/>
      <c r="P65" s="316"/>
      <c r="Q65" s="316"/>
      <c r="R65" s="316">
        <v>1</v>
      </c>
      <c r="S65" s="316" t="s">
        <v>626</v>
      </c>
      <c r="T65" s="317">
        <v>1</v>
      </c>
      <c r="U65" s="317" t="s">
        <v>626</v>
      </c>
      <c r="V65" s="318">
        <v>750000</v>
      </c>
      <c r="W65" s="484">
        <f t="shared" si="9"/>
        <v>750000</v>
      </c>
      <c r="X65" s="348" t="s">
        <v>649</v>
      </c>
      <c r="Y65" s="453"/>
      <c r="Z65" s="454"/>
      <c r="AA65" s="454"/>
      <c r="AB65" s="454"/>
      <c r="AC65" s="455"/>
      <c r="AD65" s="455"/>
      <c r="AE65" s="455"/>
      <c r="AF65" s="455"/>
      <c r="AG65" s="456"/>
      <c r="AH65" s="456"/>
      <c r="AI65" s="456"/>
      <c r="AJ65" s="457"/>
      <c r="AK65" s="332"/>
      <c r="AL65" s="458"/>
      <c r="AM65" s="454"/>
      <c r="AN65" s="454"/>
      <c r="AO65" s="454"/>
      <c r="AP65" s="455"/>
      <c r="AQ65" s="455"/>
      <c r="AR65" s="455"/>
      <c r="AS65" s="455"/>
      <c r="AT65" s="456"/>
      <c r="AU65" s="456"/>
      <c r="AV65" s="456"/>
      <c r="AW65" s="457"/>
      <c r="AX65" s="343"/>
      <c r="AY65" s="344"/>
    </row>
    <row r="66" spans="1:51" s="345" customFormat="1" ht="15" customHeight="1" x14ac:dyDescent="0.25">
      <c r="A66" s="440"/>
      <c r="B66" s="441"/>
      <c r="C66" s="441"/>
      <c r="D66" s="442"/>
      <c r="E66" s="442"/>
      <c r="F66" s="442"/>
      <c r="G66" s="441"/>
      <c r="H66" s="443"/>
      <c r="I66" s="353"/>
      <c r="J66" s="331"/>
      <c r="K66" s="314"/>
      <c r="L66" s="315"/>
      <c r="M66" s="316"/>
      <c r="N66" s="316"/>
      <c r="O66" s="316"/>
      <c r="P66" s="316"/>
      <c r="Q66" s="316"/>
      <c r="R66" s="316"/>
      <c r="S66" s="316"/>
      <c r="T66" s="317"/>
      <c r="U66" s="317"/>
      <c r="V66" s="318"/>
      <c r="W66" s="319"/>
      <c r="X66" s="348"/>
      <c r="Y66" s="453"/>
      <c r="Z66" s="454"/>
      <c r="AA66" s="454"/>
      <c r="AB66" s="454"/>
      <c r="AC66" s="455"/>
      <c r="AD66" s="455"/>
      <c r="AE66" s="455"/>
      <c r="AF66" s="455"/>
      <c r="AG66" s="456"/>
      <c r="AH66" s="456"/>
      <c r="AI66" s="456"/>
      <c r="AJ66" s="457"/>
      <c r="AK66" s="332">
        <f t="shared" si="6"/>
        <v>0</v>
      </c>
      <c r="AL66" s="458"/>
      <c r="AM66" s="454"/>
      <c r="AN66" s="454"/>
      <c r="AO66" s="454"/>
      <c r="AP66" s="455"/>
      <c r="AQ66" s="455"/>
      <c r="AR66" s="455"/>
      <c r="AS66" s="455"/>
      <c r="AT66" s="456"/>
      <c r="AU66" s="456"/>
      <c r="AV66" s="456"/>
      <c r="AW66" s="457"/>
      <c r="AX66" s="343"/>
      <c r="AY66" s="344"/>
    </row>
    <row r="67" spans="1:51" s="345" customFormat="1" ht="15" customHeight="1" x14ac:dyDescent="0.25">
      <c r="A67" s="269"/>
      <c r="B67" s="270" t="s">
        <v>59</v>
      </c>
      <c r="C67" s="270" t="s">
        <v>53</v>
      </c>
      <c r="D67" s="288" t="s">
        <v>67</v>
      </c>
      <c r="E67" s="288" t="s">
        <v>813</v>
      </c>
      <c r="F67" s="271"/>
      <c r="G67" s="270"/>
      <c r="H67" s="273"/>
      <c r="I67" s="289"/>
      <c r="J67" s="331"/>
      <c r="K67" s="290"/>
      <c r="L67" s="315"/>
      <c r="M67" s="316"/>
      <c r="N67" s="316"/>
      <c r="O67" s="316"/>
      <c r="P67" s="316"/>
      <c r="Q67" s="316"/>
      <c r="R67" s="316"/>
      <c r="S67" s="316"/>
      <c r="T67" s="317"/>
      <c r="U67" s="317"/>
      <c r="V67" s="318"/>
      <c r="W67" s="319"/>
      <c r="X67" s="348"/>
      <c r="Y67" s="453"/>
      <c r="Z67" s="454"/>
      <c r="AA67" s="454"/>
      <c r="AB67" s="454"/>
      <c r="AC67" s="455"/>
      <c r="AD67" s="455"/>
      <c r="AE67" s="455"/>
      <c r="AF67" s="455"/>
      <c r="AG67" s="456"/>
      <c r="AH67" s="456"/>
      <c r="AI67" s="456"/>
      <c r="AJ67" s="457"/>
      <c r="AK67" s="332">
        <f t="shared" si="6"/>
        <v>0</v>
      </c>
      <c r="AL67" s="458"/>
      <c r="AM67" s="454"/>
      <c r="AN67" s="454"/>
      <c r="AO67" s="454"/>
      <c r="AP67" s="455"/>
      <c r="AQ67" s="455"/>
      <c r="AR67" s="455"/>
      <c r="AS67" s="455"/>
      <c r="AT67" s="456"/>
      <c r="AU67" s="456"/>
      <c r="AV67" s="456"/>
      <c r="AW67" s="457"/>
      <c r="AX67" s="343"/>
      <c r="AY67" s="344"/>
    </row>
    <row r="68" spans="1:51" s="345" customFormat="1" ht="15" customHeight="1" x14ac:dyDescent="0.25">
      <c r="A68" s="269"/>
      <c r="B68" s="270" t="s">
        <v>59</v>
      </c>
      <c r="C68" s="270" t="s">
        <v>53</v>
      </c>
      <c r="D68" s="288" t="s">
        <v>67</v>
      </c>
      <c r="E68" s="288" t="s">
        <v>813</v>
      </c>
      <c r="F68" s="271" t="s">
        <v>65</v>
      </c>
      <c r="G68" s="270"/>
      <c r="H68" s="273"/>
      <c r="I68" s="289"/>
      <c r="J68" s="283" t="s">
        <v>814</v>
      </c>
      <c r="K68" s="290"/>
      <c r="L68" s="315"/>
      <c r="M68" s="316"/>
      <c r="N68" s="316"/>
      <c r="O68" s="316"/>
      <c r="P68" s="316"/>
      <c r="Q68" s="316"/>
      <c r="R68" s="316"/>
      <c r="S68" s="316"/>
      <c r="T68" s="317"/>
      <c r="U68" s="317"/>
      <c r="V68" s="318"/>
      <c r="W68" s="319">
        <f>W71</f>
        <v>6587900</v>
      </c>
      <c r="X68" s="348"/>
      <c r="Y68" s="453"/>
      <c r="Z68" s="454"/>
      <c r="AA68" s="454"/>
      <c r="AB68" s="454"/>
      <c r="AC68" s="455"/>
      <c r="AD68" s="455"/>
      <c r="AE68" s="455"/>
      <c r="AF68" s="455"/>
      <c r="AG68" s="456"/>
      <c r="AH68" s="456"/>
      <c r="AI68" s="456"/>
      <c r="AJ68" s="457"/>
      <c r="AK68" s="332">
        <f t="shared" si="6"/>
        <v>0</v>
      </c>
      <c r="AL68" s="458"/>
      <c r="AM68" s="454"/>
      <c r="AN68" s="454"/>
      <c r="AO68" s="454"/>
      <c r="AP68" s="455"/>
      <c r="AQ68" s="455"/>
      <c r="AR68" s="455"/>
      <c r="AS68" s="455"/>
      <c r="AT68" s="456"/>
      <c r="AU68" s="456"/>
      <c r="AV68" s="456"/>
      <c r="AW68" s="457"/>
      <c r="AX68" s="343"/>
      <c r="AY68" s="344"/>
    </row>
    <row r="69" spans="1:51" s="345" customFormat="1" ht="15" customHeight="1" x14ac:dyDescent="0.25">
      <c r="A69" s="306"/>
      <c r="B69" s="307" t="s">
        <v>59</v>
      </c>
      <c r="C69" s="307" t="s">
        <v>53</v>
      </c>
      <c r="D69" s="309" t="s">
        <v>67</v>
      </c>
      <c r="E69" s="309" t="s">
        <v>813</v>
      </c>
      <c r="F69" s="308" t="s">
        <v>65</v>
      </c>
      <c r="G69" s="307" t="s">
        <v>624</v>
      </c>
      <c r="H69" s="311"/>
      <c r="I69" s="312"/>
      <c r="J69" s="283" t="s">
        <v>814</v>
      </c>
      <c r="K69" s="314"/>
      <c r="L69" s="315"/>
      <c r="M69" s="316"/>
      <c r="N69" s="316"/>
      <c r="O69" s="316"/>
      <c r="P69" s="316"/>
      <c r="Q69" s="316"/>
      <c r="R69" s="316"/>
      <c r="S69" s="316"/>
      <c r="T69" s="317"/>
      <c r="U69" s="317"/>
      <c r="V69" s="318"/>
      <c r="W69" s="319"/>
      <c r="X69" s="348"/>
      <c r="Y69" s="453"/>
      <c r="Z69" s="454"/>
      <c r="AA69" s="454"/>
      <c r="AB69" s="454"/>
      <c r="AC69" s="455"/>
      <c r="AD69" s="455"/>
      <c r="AE69" s="455"/>
      <c r="AF69" s="455"/>
      <c r="AG69" s="456"/>
      <c r="AH69" s="456"/>
      <c r="AI69" s="456"/>
      <c r="AJ69" s="457"/>
      <c r="AK69" s="332">
        <f t="shared" si="6"/>
        <v>0</v>
      </c>
      <c r="AL69" s="458"/>
      <c r="AM69" s="454"/>
      <c r="AN69" s="454"/>
      <c r="AO69" s="454"/>
      <c r="AP69" s="455"/>
      <c r="AQ69" s="455"/>
      <c r="AR69" s="455"/>
      <c r="AS69" s="455"/>
      <c r="AT69" s="456"/>
      <c r="AU69" s="456"/>
      <c r="AV69" s="456"/>
      <c r="AW69" s="457"/>
      <c r="AX69" s="343"/>
      <c r="AY69" s="344"/>
    </row>
    <row r="70" spans="1:51" s="345" customFormat="1" ht="15" customHeight="1" x14ac:dyDescent="0.25">
      <c r="A70" s="440"/>
      <c r="B70" s="441"/>
      <c r="C70" s="441"/>
      <c r="D70" s="442"/>
      <c r="E70" s="442"/>
      <c r="F70" s="442"/>
      <c r="G70" s="441"/>
      <c r="H70" s="443"/>
      <c r="I70" s="353"/>
      <c r="J70" s="331" t="s">
        <v>814</v>
      </c>
      <c r="K70" s="314"/>
      <c r="L70" s="315"/>
      <c r="M70" s="316"/>
      <c r="N70" s="316"/>
      <c r="O70" s="316"/>
      <c r="P70" s="316"/>
      <c r="Q70" s="316"/>
      <c r="R70" s="316"/>
      <c r="S70" s="316"/>
      <c r="T70" s="317"/>
      <c r="U70" s="317"/>
      <c r="V70" s="318"/>
      <c r="W70" s="484"/>
      <c r="X70" s="348"/>
      <c r="Y70" s="453"/>
      <c r="Z70" s="454"/>
      <c r="AA70" s="454"/>
      <c r="AB70" s="454">
        <f>W70</f>
        <v>0</v>
      </c>
      <c r="AC70" s="455"/>
      <c r="AD70" s="455"/>
      <c r="AE70" s="455"/>
      <c r="AF70" s="455"/>
      <c r="AG70" s="456"/>
      <c r="AH70" s="456"/>
      <c r="AI70" s="456"/>
      <c r="AJ70" s="457"/>
      <c r="AK70" s="332">
        <f t="shared" si="6"/>
        <v>0</v>
      </c>
      <c r="AL70" s="458"/>
      <c r="AM70" s="454"/>
      <c r="AN70" s="454"/>
      <c r="AO70" s="454"/>
      <c r="AP70" s="455"/>
      <c r="AQ70" s="455"/>
      <c r="AR70" s="455"/>
      <c r="AS70" s="455"/>
      <c r="AT70" s="456"/>
      <c r="AU70" s="456"/>
      <c r="AV70" s="456"/>
      <c r="AW70" s="457"/>
      <c r="AX70" s="343"/>
      <c r="AY70" s="344"/>
    </row>
    <row r="71" spans="1:51" s="345" customFormat="1" ht="15" customHeight="1" x14ac:dyDescent="0.25">
      <c r="A71" s="440"/>
      <c r="B71" s="441"/>
      <c r="C71" s="441"/>
      <c r="D71" s="442"/>
      <c r="E71" s="442"/>
      <c r="F71" s="442"/>
      <c r="G71" s="441"/>
      <c r="H71" s="443"/>
      <c r="I71" s="353"/>
      <c r="J71" s="331" t="s">
        <v>879</v>
      </c>
      <c r="K71" s="314"/>
      <c r="L71" s="315"/>
      <c r="M71" s="316"/>
      <c r="N71" s="316"/>
      <c r="O71" s="316"/>
      <c r="P71" s="316"/>
      <c r="Q71" s="316"/>
      <c r="R71" s="316">
        <v>1</v>
      </c>
      <c r="S71" s="316" t="s">
        <v>626</v>
      </c>
      <c r="T71" s="317">
        <v>1</v>
      </c>
      <c r="U71" s="317" t="s">
        <v>626</v>
      </c>
      <c r="V71" s="318">
        <v>6587900</v>
      </c>
      <c r="W71" s="484">
        <f>T71*V71</f>
        <v>6587900</v>
      </c>
      <c r="X71" s="348" t="s">
        <v>649</v>
      </c>
      <c r="Y71" s="453"/>
      <c r="Z71" s="454"/>
      <c r="AA71" s="454"/>
      <c r="AB71" s="454"/>
      <c r="AC71" s="455"/>
      <c r="AD71" s="455"/>
      <c r="AE71" s="455"/>
      <c r="AF71" s="455"/>
      <c r="AG71" s="456"/>
      <c r="AH71" s="456"/>
      <c r="AI71" s="456"/>
      <c r="AJ71" s="457"/>
      <c r="AK71" s="332">
        <f t="shared" si="6"/>
        <v>0</v>
      </c>
      <c r="AL71" s="458"/>
      <c r="AM71" s="454"/>
      <c r="AN71" s="454"/>
      <c r="AO71" s="454"/>
      <c r="AP71" s="455"/>
      <c r="AQ71" s="455"/>
      <c r="AR71" s="455"/>
      <c r="AS71" s="455"/>
      <c r="AT71" s="456"/>
      <c r="AU71" s="456"/>
      <c r="AV71" s="456"/>
      <c r="AW71" s="457"/>
      <c r="AX71" s="343"/>
      <c r="AY71" s="344"/>
    </row>
    <row r="72" spans="1:51" s="345" customFormat="1" ht="15" customHeight="1" x14ac:dyDescent="0.25">
      <c r="A72" s="440"/>
      <c r="H72" s="443"/>
      <c r="I72" s="353"/>
      <c r="J72" s="331"/>
      <c r="K72" s="314"/>
      <c r="L72" s="315"/>
      <c r="M72" s="316"/>
      <c r="N72" s="316"/>
      <c r="O72" s="316"/>
      <c r="P72" s="316"/>
      <c r="Q72" s="316"/>
      <c r="R72" s="316"/>
      <c r="S72" s="316"/>
      <c r="T72" s="317"/>
      <c r="U72" s="317"/>
      <c r="V72" s="318"/>
      <c r="W72" s="319">
        <f>W73</f>
        <v>0</v>
      </c>
      <c r="X72" s="348"/>
      <c r="Y72" s="453"/>
      <c r="Z72" s="454"/>
      <c r="AA72" s="454"/>
      <c r="AB72" s="454"/>
      <c r="AC72" s="455"/>
      <c r="AD72" s="455"/>
      <c r="AE72" s="455"/>
      <c r="AF72" s="455"/>
      <c r="AG72" s="456"/>
      <c r="AH72" s="456"/>
      <c r="AI72" s="456"/>
      <c r="AJ72" s="457"/>
      <c r="AK72" s="332">
        <f t="shared" si="6"/>
        <v>0</v>
      </c>
      <c r="AL72" s="458"/>
      <c r="AM72" s="454"/>
      <c r="AN72" s="454"/>
      <c r="AO72" s="454"/>
      <c r="AP72" s="455"/>
      <c r="AQ72" s="455"/>
      <c r="AR72" s="455"/>
      <c r="AS72" s="455"/>
      <c r="AT72" s="456"/>
      <c r="AU72" s="456"/>
      <c r="AV72" s="456"/>
      <c r="AW72" s="457"/>
      <c r="AX72" s="343"/>
      <c r="AY72" s="344"/>
    </row>
    <row r="73" spans="1:51" s="345" customFormat="1" ht="15" customHeight="1" x14ac:dyDescent="0.25">
      <c r="A73" s="440"/>
      <c r="B73" s="307"/>
      <c r="C73" s="307"/>
      <c r="D73" s="309"/>
      <c r="E73" s="309"/>
      <c r="F73" s="308"/>
      <c r="G73" s="307"/>
      <c r="H73" s="443"/>
      <c r="I73" s="353"/>
      <c r="J73" s="331"/>
      <c r="K73" s="314"/>
      <c r="L73" s="315"/>
      <c r="M73" s="316"/>
      <c r="N73" s="316"/>
      <c r="O73" s="316"/>
      <c r="P73" s="316"/>
      <c r="Q73" s="316"/>
      <c r="R73" s="316"/>
      <c r="S73" s="316"/>
      <c r="T73" s="317"/>
      <c r="U73" s="317"/>
      <c r="V73" s="318"/>
      <c r="W73" s="484"/>
      <c r="X73" s="348"/>
      <c r="Y73" s="453"/>
      <c r="Z73" s="454"/>
      <c r="AA73" s="454"/>
      <c r="AB73" s="454"/>
      <c r="AC73" s="455"/>
      <c r="AD73" s="455"/>
      <c r="AE73" s="455"/>
      <c r="AF73" s="455"/>
      <c r="AG73" s="456"/>
      <c r="AH73" s="456"/>
      <c r="AI73" s="456"/>
      <c r="AJ73" s="457"/>
      <c r="AK73" s="332">
        <f t="shared" si="6"/>
        <v>0</v>
      </c>
      <c r="AL73" s="458"/>
      <c r="AM73" s="454"/>
      <c r="AN73" s="454"/>
      <c r="AO73" s="454"/>
      <c r="AP73" s="455"/>
      <c r="AQ73" s="455"/>
      <c r="AR73" s="455"/>
      <c r="AS73" s="455"/>
      <c r="AT73" s="456"/>
      <c r="AU73" s="456"/>
      <c r="AV73" s="456"/>
      <c r="AW73" s="457"/>
      <c r="AX73" s="343"/>
      <c r="AY73" s="344"/>
    </row>
    <row r="74" spans="1:51" s="345" customFormat="1" ht="15" customHeight="1" thickBot="1" x14ac:dyDescent="0.3">
      <c r="A74" s="440"/>
      <c r="B74" s="441"/>
      <c r="C74" s="441"/>
      <c r="D74" s="442"/>
      <c r="E74" s="442"/>
      <c r="F74" s="442"/>
      <c r="G74" s="441"/>
      <c r="H74" s="443"/>
      <c r="I74" s="353"/>
      <c r="J74" s="331"/>
      <c r="K74" s="314"/>
      <c r="L74" s="315"/>
      <c r="M74" s="316"/>
      <c r="N74" s="316"/>
      <c r="O74" s="316"/>
      <c r="P74" s="316"/>
      <c r="Q74" s="316"/>
      <c r="R74" s="316"/>
      <c r="S74" s="316"/>
      <c r="T74" s="317"/>
      <c r="U74" s="317"/>
      <c r="V74" s="318"/>
      <c r="W74" s="319"/>
      <c r="X74" s="348"/>
      <c r="Y74" s="453"/>
      <c r="Z74" s="454"/>
      <c r="AA74" s="454"/>
      <c r="AB74" s="454"/>
      <c r="AC74" s="455"/>
      <c r="AD74" s="455"/>
      <c r="AE74" s="455"/>
      <c r="AF74" s="455"/>
      <c r="AG74" s="456"/>
      <c r="AH74" s="456"/>
      <c r="AI74" s="456"/>
      <c r="AJ74" s="457"/>
      <c r="AK74" s="332">
        <f t="shared" si="6"/>
        <v>0</v>
      </c>
      <c r="AL74" s="458"/>
      <c r="AM74" s="454"/>
      <c r="AN74" s="454"/>
      <c r="AO74" s="454"/>
      <c r="AP74" s="455"/>
      <c r="AQ74" s="455"/>
      <c r="AR74" s="455"/>
      <c r="AS74" s="455"/>
      <c r="AT74" s="456"/>
      <c r="AU74" s="456"/>
      <c r="AV74" s="456"/>
      <c r="AW74" s="457"/>
      <c r="AX74" s="343"/>
      <c r="AY74" s="344"/>
    </row>
    <row r="75" spans="1:51" s="379" customFormat="1" ht="20.25" customHeight="1" thickBot="1" x14ac:dyDescent="0.3">
      <c r="A75" s="440"/>
      <c r="B75" s="366"/>
      <c r="C75" s="367"/>
      <c r="D75" s="367"/>
      <c r="E75" s="367"/>
      <c r="F75" s="367"/>
      <c r="G75" s="367"/>
      <c r="H75" s="367"/>
      <c r="I75" s="367"/>
      <c r="J75" s="331"/>
      <c r="K75" s="367"/>
      <c r="L75" s="367"/>
      <c r="M75" s="367"/>
      <c r="N75" s="367"/>
      <c r="O75" s="367"/>
      <c r="P75" s="367"/>
      <c r="Q75" s="367"/>
      <c r="R75" s="367"/>
      <c r="S75" s="367"/>
      <c r="T75" s="367"/>
      <c r="U75" s="367"/>
      <c r="V75" s="368"/>
      <c r="W75" s="369">
        <f>W37</f>
        <v>61535400</v>
      </c>
      <c r="X75" s="370"/>
      <c r="Y75" s="371"/>
      <c r="Z75" s="372"/>
      <c r="AA75" s="372"/>
      <c r="AB75" s="372"/>
      <c r="AC75" s="373"/>
      <c r="AD75" s="373"/>
      <c r="AE75" s="373"/>
      <c r="AF75" s="373"/>
      <c r="AG75" s="374"/>
      <c r="AH75" s="374"/>
      <c r="AI75" s="374"/>
      <c r="AJ75" s="375"/>
      <c r="AK75" s="376">
        <f>SUM(AK36:AK74)</f>
        <v>40519000</v>
      </c>
      <c r="AL75" s="377"/>
      <c r="AM75" s="372"/>
      <c r="AN75" s="372"/>
      <c r="AO75" s="372"/>
      <c r="AP75" s="373"/>
      <c r="AQ75" s="373"/>
      <c r="AR75" s="373"/>
      <c r="AS75" s="373"/>
      <c r="AT75" s="374"/>
      <c r="AU75" s="374"/>
      <c r="AV75" s="374"/>
      <c r="AW75" s="375"/>
      <c r="AX75" s="376">
        <f>SUM(AX36:AX74)</f>
        <v>0</v>
      </c>
      <c r="AY75" s="378">
        <f>SUM(AY36:AY74)</f>
        <v>24000000</v>
      </c>
    </row>
    <row r="76" spans="1:51" s="268" customFormat="1" ht="16.5" thickBot="1" x14ac:dyDescent="0.3">
      <c r="A76" s="440"/>
      <c r="B76" s="380"/>
      <c r="C76" s="380"/>
      <c r="D76" s="380"/>
      <c r="E76" s="380"/>
      <c r="F76" s="380"/>
      <c r="G76" s="380"/>
      <c r="H76" s="380"/>
      <c r="I76" s="380"/>
      <c r="J76" s="367"/>
      <c r="K76" s="381"/>
      <c r="L76" s="382"/>
      <c r="M76" s="380"/>
      <c r="N76" s="380"/>
      <c r="O76" s="380"/>
      <c r="P76" s="380"/>
      <c r="Q76" s="380"/>
      <c r="R76" s="380"/>
      <c r="S76" s="380"/>
      <c r="T76" s="383"/>
      <c r="U76" s="384"/>
      <c r="V76" s="384"/>
      <c r="W76" s="384"/>
      <c r="X76" s="385"/>
      <c r="Y76" s="386"/>
      <c r="Z76" s="387"/>
      <c r="AA76" s="387"/>
      <c r="AB76" s="387"/>
      <c r="AC76" s="387"/>
      <c r="AD76" s="387"/>
      <c r="AE76" s="387"/>
      <c r="AF76" s="387"/>
      <c r="AG76" s="387"/>
      <c r="AH76" s="387"/>
      <c r="AI76" s="387"/>
      <c r="AJ76" s="387"/>
    </row>
    <row r="77" spans="1:51" s="268" customFormat="1" ht="16.5" thickBot="1" x14ac:dyDescent="0.3">
      <c r="A77" s="349"/>
      <c r="B77" s="220"/>
      <c r="C77" s="380"/>
      <c r="D77" s="660" t="s">
        <v>160</v>
      </c>
      <c r="E77" s="660"/>
      <c r="F77" s="660"/>
      <c r="G77" s="660"/>
      <c r="H77" s="660"/>
      <c r="I77" s="388"/>
      <c r="J77" s="380"/>
      <c r="K77" s="389"/>
      <c r="L77" s="390"/>
      <c r="M77" s="391"/>
      <c r="N77" s="391"/>
      <c r="O77" s="391"/>
      <c r="P77" s="391"/>
      <c r="Q77" s="391"/>
      <c r="R77" s="391"/>
      <c r="S77" s="391"/>
      <c r="T77" s="380"/>
      <c r="U77" s="388"/>
      <c r="V77" s="392" t="s">
        <v>841</v>
      </c>
      <c r="W77" s="393"/>
      <c r="X77" s="394"/>
      <c r="Y77" s="387"/>
      <c r="Z77" s="387"/>
      <c r="AA77" s="387" t="s">
        <v>161</v>
      </c>
      <c r="AB77" s="387"/>
      <c r="AC77" s="387"/>
      <c r="AD77" s="387"/>
      <c r="AE77" s="387"/>
      <c r="AF77" s="387"/>
      <c r="AG77" s="387"/>
      <c r="AH77" s="387"/>
      <c r="AI77" s="387"/>
      <c r="AJ77" s="387"/>
    </row>
    <row r="78" spans="1:51" s="268" customFormat="1" ht="12" customHeight="1" thickBot="1" x14ac:dyDescent="0.3">
      <c r="A78" s="365" t="s">
        <v>157</v>
      </c>
      <c r="B78" s="220"/>
      <c r="C78" s="380"/>
      <c r="D78" s="660" t="s">
        <v>160</v>
      </c>
      <c r="E78" s="660"/>
      <c r="F78" s="660"/>
      <c r="G78" s="660"/>
      <c r="H78" s="660"/>
      <c r="I78" s="388"/>
      <c r="J78" s="388"/>
      <c r="K78" s="389"/>
      <c r="L78" s="390"/>
      <c r="M78" s="391"/>
      <c r="N78" s="391"/>
      <c r="O78" s="391"/>
      <c r="P78" s="391"/>
      <c r="Q78" s="391"/>
      <c r="R78" s="391"/>
      <c r="S78" s="391"/>
      <c r="T78" s="380"/>
      <c r="U78" s="384"/>
      <c r="V78" s="395" t="s">
        <v>26</v>
      </c>
      <c r="W78" s="393"/>
      <c r="X78" s="394"/>
      <c r="Y78" s="387"/>
      <c r="Z78" s="387"/>
      <c r="AA78" s="387"/>
      <c r="AB78" s="387"/>
      <c r="AC78" s="387"/>
      <c r="AD78" s="387"/>
      <c r="AE78" s="387"/>
      <c r="AF78" s="387"/>
      <c r="AG78" s="387"/>
      <c r="AH78" s="387"/>
      <c r="AI78" s="387"/>
      <c r="AJ78" s="387"/>
    </row>
    <row r="79" spans="1:51" s="268" customFormat="1" ht="15.75" x14ac:dyDescent="0.25">
      <c r="A79" s="219" t="s">
        <v>158</v>
      </c>
      <c r="B79" s="220"/>
      <c r="C79" s="380"/>
      <c r="D79" s="660" t="s">
        <v>160</v>
      </c>
      <c r="E79" s="660"/>
      <c r="F79" s="660"/>
      <c r="G79" s="660"/>
      <c r="H79" s="660"/>
      <c r="I79" s="388"/>
      <c r="J79" s="388"/>
      <c r="K79" s="389"/>
      <c r="L79" s="390"/>
      <c r="M79" s="391"/>
      <c r="N79" s="391"/>
      <c r="O79" s="391"/>
      <c r="P79" s="391"/>
      <c r="Q79" s="391"/>
      <c r="R79" s="391"/>
      <c r="S79" s="391"/>
      <c r="T79" s="380"/>
      <c r="U79" s="384"/>
      <c r="V79" s="395"/>
      <c r="W79" s="393"/>
      <c r="X79" s="394"/>
      <c r="Y79" s="387"/>
      <c r="Z79" s="387"/>
      <c r="AA79" s="387"/>
      <c r="AB79" s="387"/>
      <c r="AC79" s="387"/>
      <c r="AD79" s="387"/>
      <c r="AE79" s="387"/>
      <c r="AF79" s="387"/>
      <c r="AG79" s="387"/>
      <c r="AH79" s="387"/>
      <c r="AI79" s="387"/>
      <c r="AJ79" s="387"/>
    </row>
    <row r="80" spans="1:51" s="268" customFormat="1" ht="15.75" x14ac:dyDescent="0.25">
      <c r="A80" s="219" t="s">
        <v>159</v>
      </c>
      <c r="B80" s="220"/>
      <c r="C80" s="380"/>
      <c r="D80" s="659"/>
      <c r="E80" s="659"/>
      <c r="F80" s="659"/>
      <c r="G80" s="659"/>
      <c r="H80" s="659"/>
      <c r="I80" s="388"/>
      <c r="J80" s="388"/>
      <c r="K80" s="396"/>
      <c r="L80" s="390"/>
      <c r="M80" s="391"/>
      <c r="N80" s="391"/>
      <c r="O80" s="391"/>
      <c r="P80" s="391"/>
      <c r="Q80" s="391"/>
      <c r="R80" s="391"/>
      <c r="S80" s="391"/>
      <c r="T80" s="380"/>
      <c r="U80" s="393"/>
      <c r="V80" s="395"/>
      <c r="W80" s="393"/>
      <c r="X80" s="394"/>
      <c r="Y80" s="387"/>
      <c r="Z80" s="387"/>
      <c r="AA80" s="387"/>
      <c r="AB80" s="387"/>
      <c r="AC80" s="387"/>
      <c r="AD80" s="387"/>
      <c r="AE80" s="387"/>
      <c r="AF80" s="387"/>
      <c r="AG80" s="387"/>
      <c r="AH80" s="387"/>
      <c r="AI80" s="387"/>
      <c r="AJ80" s="387"/>
    </row>
    <row r="81" spans="1:36" s="268" customFormat="1" ht="15.75" x14ac:dyDescent="0.25">
      <c r="A81" s="219" t="s">
        <v>162</v>
      </c>
      <c r="B81" s="220"/>
      <c r="C81" s="380"/>
      <c r="D81" s="660" t="s">
        <v>160</v>
      </c>
      <c r="E81" s="660"/>
      <c r="F81" s="660"/>
      <c r="G81" s="660"/>
      <c r="H81" s="660"/>
      <c r="I81" s="388"/>
      <c r="J81" s="388"/>
      <c r="K81" s="396"/>
      <c r="L81" s="390"/>
      <c r="M81" s="391"/>
      <c r="N81" s="391"/>
      <c r="O81" s="391"/>
      <c r="P81" s="391"/>
      <c r="Q81" s="391"/>
      <c r="R81" s="391"/>
      <c r="S81" s="391"/>
      <c r="T81" s="380"/>
      <c r="U81" s="393"/>
      <c r="V81" s="397"/>
      <c r="W81" s="398"/>
      <c r="X81" s="394"/>
      <c r="Y81" s="387"/>
      <c r="Z81" s="387"/>
      <c r="AA81" s="387"/>
      <c r="AB81" s="387"/>
      <c r="AC81" s="387"/>
      <c r="AD81" s="387"/>
      <c r="AE81" s="387"/>
      <c r="AF81" s="387"/>
      <c r="AG81" s="387"/>
      <c r="AH81" s="387"/>
      <c r="AI81" s="387"/>
      <c r="AJ81" s="387"/>
    </row>
    <row r="82" spans="1:36" s="268" customFormat="1" ht="15.75" x14ac:dyDescent="0.25">
      <c r="A82" s="219" t="s">
        <v>163</v>
      </c>
      <c r="B82" s="380"/>
      <c r="C82" s="380"/>
      <c r="D82" s="380"/>
      <c r="E82" s="380"/>
      <c r="F82" s="380"/>
      <c r="G82" s="380"/>
      <c r="H82" s="380"/>
      <c r="I82" s="388"/>
      <c r="J82" s="388"/>
      <c r="K82" s="396"/>
      <c r="L82" s="390"/>
      <c r="M82" s="391"/>
      <c r="N82" s="391"/>
      <c r="O82" s="391"/>
      <c r="P82" s="391"/>
      <c r="Q82" s="391"/>
      <c r="R82" s="391"/>
      <c r="S82" s="391"/>
      <c r="T82" s="380"/>
      <c r="U82" s="223"/>
      <c r="V82" s="400" t="s">
        <v>28</v>
      </c>
      <c r="W82" s="401"/>
      <c r="X82" s="394"/>
      <c r="Y82" s="387"/>
      <c r="Z82" s="387"/>
      <c r="AA82" s="387"/>
      <c r="AB82" s="387"/>
      <c r="AC82" s="387"/>
      <c r="AD82" s="387"/>
      <c r="AE82" s="387"/>
      <c r="AF82" s="387"/>
      <c r="AG82" s="387"/>
      <c r="AH82" s="387"/>
      <c r="AI82" s="387"/>
      <c r="AJ82" s="387"/>
    </row>
    <row r="83" spans="1:36" s="268" customFormat="1" ht="15.75" x14ac:dyDescent="0.25">
      <c r="A83" s="219"/>
      <c r="B83" s="380"/>
      <c r="C83" s="380"/>
      <c r="D83" s="380"/>
      <c r="E83" s="380"/>
      <c r="F83" s="380"/>
      <c r="G83" s="380"/>
      <c r="H83" s="380"/>
      <c r="I83" s="393"/>
      <c r="J83" s="388"/>
      <c r="K83" s="389"/>
      <c r="L83" s="390"/>
      <c r="M83" s="391"/>
      <c r="N83" s="391"/>
      <c r="O83" s="391"/>
      <c r="P83" s="391"/>
      <c r="Q83" s="391"/>
      <c r="R83" s="391"/>
      <c r="S83" s="391"/>
      <c r="T83" s="380"/>
      <c r="U83" s="223"/>
      <c r="V83" s="402" t="s">
        <v>76</v>
      </c>
      <c r="W83" s="393"/>
      <c r="X83" s="394"/>
      <c r="Y83" s="387"/>
      <c r="Z83" s="387"/>
      <c r="AA83" s="387"/>
      <c r="AB83" s="387"/>
      <c r="AC83" s="387"/>
      <c r="AD83" s="387"/>
      <c r="AE83" s="387"/>
      <c r="AF83" s="387"/>
      <c r="AG83" s="387"/>
      <c r="AH83" s="387"/>
      <c r="AI83" s="387"/>
      <c r="AJ83" s="387"/>
    </row>
    <row r="84" spans="1:36" s="268" customFormat="1" ht="11.25" customHeight="1" thickBot="1" x14ac:dyDescent="0.3">
      <c r="A84" s="219" t="s">
        <v>87</v>
      </c>
      <c r="B84" s="404"/>
      <c r="C84" s="404"/>
      <c r="D84" s="404"/>
      <c r="E84" s="404"/>
      <c r="F84" s="404"/>
      <c r="G84" s="404"/>
      <c r="H84" s="404"/>
      <c r="I84" s="405"/>
      <c r="J84" s="388"/>
      <c r="K84" s="406"/>
      <c r="L84" s="407"/>
      <c r="M84" s="405"/>
      <c r="N84" s="405"/>
      <c r="O84" s="405"/>
      <c r="P84" s="405"/>
      <c r="Q84" s="405"/>
      <c r="R84" s="405"/>
      <c r="S84" s="405"/>
      <c r="T84" s="408"/>
      <c r="U84" s="409"/>
      <c r="V84" s="410"/>
      <c r="W84" s="410"/>
      <c r="X84" s="411"/>
      <c r="Y84" s="387"/>
      <c r="Z84" s="387"/>
      <c r="AA84" s="387"/>
      <c r="AB84" s="387"/>
      <c r="AC84" s="387"/>
      <c r="AD84" s="387"/>
      <c r="AE84" s="387"/>
      <c r="AF84" s="387"/>
      <c r="AG84" s="387"/>
      <c r="AH84" s="387"/>
      <c r="AI84" s="387"/>
      <c r="AJ84" s="387"/>
    </row>
    <row r="85" spans="1:36" s="199" customFormat="1" ht="16.5" thickBot="1" x14ac:dyDescent="0.3">
      <c r="A85" s="399"/>
      <c r="B85" s="412"/>
      <c r="C85" s="412"/>
      <c r="D85" s="412"/>
      <c r="E85" s="412"/>
      <c r="F85" s="412"/>
      <c r="G85" s="412"/>
      <c r="H85" s="412"/>
      <c r="I85" s="413"/>
      <c r="J85" s="405"/>
      <c r="K85" s="413"/>
      <c r="L85" s="414"/>
      <c r="M85" s="412"/>
      <c r="N85" s="412"/>
      <c r="O85" s="412"/>
      <c r="P85" s="412"/>
      <c r="Q85" s="412"/>
      <c r="R85" s="412"/>
      <c r="S85" s="412"/>
      <c r="T85" s="412"/>
      <c r="U85" s="413"/>
      <c r="V85" s="413"/>
      <c r="W85" s="413"/>
      <c r="X85" s="413"/>
      <c r="Y85" s="198"/>
      <c r="Z85" s="198"/>
      <c r="AA85" s="198"/>
      <c r="AB85" s="198"/>
      <c r="AC85" s="198"/>
      <c r="AD85" s="198"/>
      <c r="AE85" s="198"/>
      <c r="AF85" s="198"/>
      <c r="AG85" s="198"/>
      <c r="AH85" s="198"/>
      <c r="AI85" s="198"/>
      <c r="AJ85" s="198"/>
    </row>
    <row r="86" spans="1:36" s="199" customFormat="1" ht="15.75" x14ac:dyDescent="0.25">
      <c r="A86" s="399"/>
      <c r="B86" s="412"/>
      <c r="C86" s="412"/>
      <c r="D86" s="412"/>
      <c r="E86" s="412"/>
      <c r="F86" s="412"/>
      <c r="G86" s="412"/>
      <c r="H86" s="412"/>
      <c r="I86" s="413"/>
      <c r="J86" s="413"/>
      <c r="K86" s="413"/>
      <c r="L86" s="414"/>
      <c r="M86" s="412"/>
      <c r="N86" s="412"/>
      <c r="O86" s="412"/>
      <c r="P86" s="412"/>
      <c r="Q86" s="412"/>
      <c r="R86" s="412"/>
      <c r="S86" s="412"/>
      <c r="T86" s="412"/>
      <c r="U86" s="413"/>
      <c r="V86" s="413"/>
      <c r="W86" s="413"/>
      <c r="X86" s="413"/>
      <c r="Y86" s="198"/>
      <c r="Z86" s="198"/>
      <c r="AA86" s="198"/>
      <c r="AB86" s="198"/>
      <c r="AC86" s="198"/>
      <c r="AD86" s="198"/>
      <c r="AE86" s="198"/>
      <c r="AF86" s="198"/>
      <c r="AG86" s="198"/>
      <c r="AH86" s="198"/>
      <c r="AI86" s="198"/>
      <c r="AJ86" s="198"/>
    </row>
    <row r="87" spans="1:36" s="199" customFormat="1" ht="16.5" thickBot="1" x14ac:dyDescent="0.3">
      <c r="A87" s="403"/>
      <c r="B87" s="412"/>
      <c r="C87" s="412"/>
      <c r="D87" s="412"/>
      <c r="E87" s="412"/>
      <c r="F87" s="412"/>
      <c r="G87" s="412"/>
      <c r="H87" s="412"/>
      <c r="I87" s="413"/>
      <c r="J87" s="413"/>
      <c r="K87" s="413"/>
      <c r="L87" s="414"/>
      <c r="M87" s="412"/>
      <c r="N87" s="412"/>
      <c r="O87" s="412"/>
      <c r="P87" s="412"/>
      <c r="Q87" s="412"/>
      <c r="R87" s="412"/>
      <c r="S87" s="412"/>
      <c r="T87" s="412"/>
      <c r="U87" s="413"/>
      <c r="V87" s="413"/>
      <c r="W87" s="413"/>
      <c r="X87" s="413"/>
      <c r="Y87" s="198"/>
      <c r="Z87" s="198"/>
      <c r="AA87" s="198"/>
      <c r="AB87" s="198"/>
      <c r="AC87" s="198"/>
      <c r="AD87" s="198"/>
      <c r="AE87" s="198"/>
      <c r="AF87" s="198"/>
      <c r="AG87" s="198"/>
      <c r="AH87" s="198"/>
      <c r="AI87" s="198"/>
      <c r="AJ87" s="198"/>
    </row>
    <row r="88" spans="1:36" ht="15.75" x14ac:dyDescent="0.25">
      <c r="A88" s="412"/>
      <c r="B88" s="412"/>
      <c r="C88" s="412"/>
      <c r="D88" s="412"/>
      <c r="E88" s="412"/>
      <c r="F88" s="412"/>
      <c r="G88" s="412"/>
      <c r="H88" s="412"/>
      <c r="I88" s="413"/>
      <c r="J88" s="413"/>
      <c r="K88" s="413"/>
      <c r="L88" s="414"/>
      <c r="M88" s="412"/>
      <c r="N88" s="412"/>
      <c r="O88" s="412"/>
      <c r="P88" s="412"/>
      <c r="Q88" s="412"/>
      <c r="R88" s="412"/>
      <c r="S88" s="412"/>
      <c r="T88" s="412"/>
      <c r="U88" s="413"/>
      <c r="V88" s="413"/>
      <c r="W88" s="413"/>
      <c r="X88" s="413"/>
    </row>
    <row r="89" spans="1:36" ht="15.75" x14ac:dyDescent="0.25">
      <c r="A89" s="412"/>
      <c r="J89" s="413"/>
    </row>
    <row r="90" spans="1:36" ht="15.75" x14ac:dyDescent="0.25">
      <c r="A90" s="412"/>
    </row>
    <row r="91" spans="1:36" ht="15.75" x14ac:dyDescent="0.25">
      <c r="A91" s="412"/>
    </row>
  </sheetData>
  <mergeCells count="72">
    <mergeCell ref="A13:X13"/>
    <mergeCell ref="V3:X3"/>
    <mergeCell ref="A5:X5"/>
    <mergeCell ref="A6:X6"/>
    <mergeCell ref="A7:I7"/>
    <mergeCell ref="A9:I9"/>
    <mergeCell ref="V23:X23"/>
    <mergeCell ref="A14:I14"/>
    <mergeCell ref="J14:U14"/>
    <mergeCell ref="V14:X14"/>
    <mergeCell ref="A15:I15"/>
    <mergeCell ref="A16:I19"/>
    <mergeCell ref="V16:X16"/>
    <mergeCell ref="V17:X17"/>
    <mergeCell ref="V18:X18"/>
    <mergeCell ref="V19:X19"/>
    <mergeCell ref="A20:I20"/>
    <mergeCell ref="V20:X20"/>
    <mergeCell ref="V21:X21"/>
    <mergeCell ref="K22:U22"/>
    <mergeCell ref="V22:X22"/>
    <mergeCell ref="A24:I24"/>
    <mergeCell ref="A28:I28"/>
    <mergeCell ref="A29:X29"/>
    <mergeCell ref="A30:X30"/>
    <mergeCell ref="A31:H35"/>
    <mergeCell ref="I31:K35"/>
    <mergeCell ref="L31:V32"/>
    <mergeCell ref="W31:W33"/>
    <mergeCell ref="X31:X35"/>
    <mergeCell ref="L33:S35"/>
    <mergeCell ref="T33:T35"/>
    <mergeCell ref="U33:U35"/>
    <mergeCell ref="V33:V35"/>
    <mergeCell ref="W34:W35"/>
    <mergeCell ref="Y31:AJ33"/>
    <mergeCell ref="AK31:AK35"/>
    <mergeCell ref="AL31:AW33"/>
    <mergeCell ref="AX31:AX35"/>
    <mergeCell ref="AY31:AY35"/>
    <mergeCell ref="AJ34:AJ35"/>
    <mergeCell ref="Y34:Y35"/>
    <mergeCell ref="Z34:Z35"/>
    <mergeCell ref="AA34:AA35"/>
    <mergeCell ref="AB34:AB35"/>
    <mergeCell ref="AC34:AC35"/>
    <mergeCell ref="AD34:AD35"/>
    <mergeCell ref="AE34:AE35"/>
    <mergeCell ref="AF34:AF35"/>
    <mergeCell ref="AG34:AG35"/>
    <mergeCell ref="AH34:AH35"/>
    <mergeCell ref="AI34:AI35"/>
    <mergeCell ref="AW34:AW35"/>
    <mergeCell ref="AL34:AL35"/>
    <mergeCell ref="AM34:AM35"/>
    <mergeCell ref="AN34:AN35"/>
    <mergeCell ref="AO34:AO35"/>
    <mergeCell ref="AP34:AP35"/>
    <mergeCell ref="AQ34:AQ35"/>
    <mergeCell ref="AR34:AR35"/>
    <mergeCell ref="AS34:AS35"/>
    <mergeCell ref="AT34:AT35"/>
    <mergeCell ref="AU34:AU35"/>
    <mergeCell ref="AV34:AV35"/>
    <mergeCell ref="D80:H80"/>
    <mergeCell ref="D81:H81"/>
    <mergeCell ref="A36:H36"/>
    <mergeCell ref="I36:K36"/>
    <mergeCell ref="L36:S36"/>
    <mergeCell ref="D77:H77"/>
    <mergeCell ref="D78:H78"/>
    <mergeCell ref="D79:H79"/>
  </mergeCells>
  <pageMargins left="0.85" right="0" top="1" bottom="1.5" header="0.42" footer="0.31"/>
  <pageSetup paperSize="124" scale="34" fitToHeight="0" orientation="portrait" r:id="rId1"/>
  <headerFooter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8C181-D700-4BC7-987E-499E11DE3033}">
  <dimension ref="A1:AY64"/>
  <sheetViews>
    <sheetView showGridLines="0" topLeftCell="J31" zoomScale="80" zoomScaleNormal="80" zoomScaleSheetLayoutView="70" zoomScalePageLayoutView="40" workbookViewId="0">
      <selection activeCell="X50" sqref="X50"/>
    </sheetView>
  </sheetViews>
  <sheetFormatPr defaultColWidth="9.140625" defaultRowHeight="12.75" x14ac:dyDescent="0.2"/>
  <cols>
    <col min="1" max="6" width="3.7109375" style="415" customWidth="1"/>
    <col min="7" max="7" width="5.85546875" style="415" bestFit="1" customWidth="1"/>
    <col min="8" max="8" width="3.7109375" style="415" customWidth="1"/>
    <col min="9" max="9" width="2" style="176" customWidth="1"/>
    <col min="10" max="10" width="3.140625" style="176" customWidth="1"/>
    <col min="11" max="11" width="37.140625" style="176" customWidth="1"/>
    <col min="12" max="12" width="4.140625" style="416" customWidth="1"/>
    <col min="13" max="15" width="4" style="415" customWidth="1"/>
    <col min="16" max="16" width="6.5703125" style="415" bestFit="1" customWidth="1"/>
    <col min="17" max="17" width="4" style="415" customWidth="1"/>
    <col min="18" max="18" width="4.7109375" style="415" customWidth="1"/>
    <col min="19" max="19" width="6.7109375" style="415" bestFit="1" customWidth="1"/>
    <col min="20" max="20" width="8.5703125" style="415" customWidth="1"/>
    <col min="21" max="21" width="9.28515625" style="176" customWidth="1"/>
    <col min="22" max="22" width="12.140625" style="176" customWidth="1"/>
    <col min="23" max="23" width="13.7109375" style="176" customWidth="1"/>
    <col min="24" max="24" width="9.5703125" style="176" customWidth="1"/>
    <col min="25" max="25" width="10.28515625" style="175" bestFit="1" customWidth="1"/>
    <col min="26" max="26" width="8" style="175" customWidth="1"/>
    <col min="27" max="29" width="9.28515625" style="175" bestFit="1" customWidth="1"/>
    <col min="30" max="30" width="8" style="175" customWidth="1"/>
    <col min="31" max="31" width="9.28515625" style="175" bestFit="1" customWidth="1"/>
    <col min="32" max="34" width="8" style="175" customWidth="1"/>
    <col min="35" max="35" width="9.28515625" style="175" bestFit="1" customWidth="1"/>
    <col min="36" max="36" width="8" style="175" customWidth="1"/>
    <col min="37" max="37" width="10.28515625" style="176" bestFit="1" customWidth="1"/>
    <col min="38" max="50" width="9.140625" style="176"/>
    <col min="51" max="51" width="10.28515625" style="176" bestFit="1" customWidth="1"/>
    <col min="52" max="16384" width="9.140625" style="176"/>
  </cols>
  <sheetData>
    <row r="1" spans="1:36" ht="14.25" customHeight="1" x14ac:dyDescent="0.2">
      <c r="A1" s="169"/>
      <c r="B1" s="170"/>
      <c r="C1" s="170"/>
      <c r="D1" s="170"/>
      <c r="E1" s="170"/>
      <c r="F1" s="170"/>
      <c r="G1" s="170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2"/>
      <c r="U1" s="171"/>
      <c r="V1" s="173"/>
      <c r="W1" s="171"/>
      <c r="X1" s="174"/>
    </row>
    <row r="2" spans="1:36" ht="18.75" customHeight="1" x14ac:dyDescent="0.4">
      <c r="A2" s="177"/>
      <c r="B2" s="178"/>
      <c r="C2" s="178"/>
      <c r="D2" s="178"/>
      <c r="E2" s="178"/>
      <c r="F2" s="178"/>
      <c r="G2" s="178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80"/>
      <c r="U2" s="179"/>
      <c r="V2" s="181"/>
      <c r="W2" s="179"/>
      <c r="X2" s="182"/>
    </row>
    <row r="3" spans="1:36" ht="24.75" customHeight="1" x14ac:dyDescent="0.2">
      <c r="A3" s="183"/>
      <c r="B3" s="184"/>
      <c r="C3" s="184"/>
      <c r="D3" s="184"/>
      <c r="E3" s="184"/>
      <c r="F3" s="184"/>
      <c r="G3" s="184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6"/>
      <c r="U3" s="185"/>
      <c r="V3" s="562" t="s">
        <v>21</v>
      </c>
      <c r="W3" s="563"/>
      <c r="X3" s="564"/>
    </row>
    <row r="4" spans="1:36" ht="32.25" customHeight="1" thickBot="1" x14ac:dyDescent="0.25">
      <c r="A4" s="187"/>
      <c r="B4" s="188"/>
      <c r="C4" s="188"/>
      <c r="D4" s="188"/>
      <c r="E4" s="188"/>
      <c r="F4" s="188"/>
      <c r="G4" s="188"/>
      <c r="H4" s="189"/>
      <c r="I4" s="189"/>
      <c r="J4" s="189"/>
      <c r="K4" s="190"/>
      <c r="L4" s="189"/>
      <c r="M4" s="189"/>
      <c r="N4" s="189"/>
      <c r="O4" s="189"/>
      <c r="P4" s="189"/>
      <c r="Q4" s="189"/>
      <c r="R4" s="189"/>
      <c r="S4" s="189"/>
      <c r="T4" s="190"/>
      <c r="U4" s="189"/>
      <c r="V4" s="191"/>
      <c r="W4" s="192">
        <v>1</v>
      </c>
      <c r="X4" s="193"/>
    </row>
    <row r="5" spans="1:36" ht="21" customHeight="1" x14ac:dyDescent="0.2">
      <c r="A5" s="565" t="s">
        <v>1</v>
      </c>
      <c r="B5" s="566"/>
      <c r="C5" s="566"/>
      <c r="D5" s="566"/>
      <c r="E5" s="566"/>
      <c r="F5" s="566"/>
      <c r="G5" s="566"/>
      <c r="H5" s="566"/>
      <c r="I5" s="566"/>
      <c r="J5" s="566"/>
      <c r="K5" s="566"/>
      <c r="L5" s="566"/>
      <c r="M5" s="566"/>
      <c r="N5" s="566"/>
      <c r="O5" s="566"/>
      <c r="P5" s="566"/>
      <c r="Q5" s="566"/>
      <c r="R5" s="566"/>
      <c r="S5" s="566"/>
      <c r="T5" s="566"/>
      <c r="U5" s="566"/>
      <c r="V5" s="566"/>
      <c r="W5" s="566"/>
      <c r="X5" s="567"/>
    </row>
    <row r="6" spans="1:36" ht="21" customHeight="1" x14ac:dyDescent="0.2">
      <c r="A6" s="568" t="s">
        <v>836</v>
      </c>
      <c r="B6" s="569"/>
      <c r="C6" s="569"/>
      <c r="D6" s="569"/>
      <c r="E6" s="569"/>
      <c r="F6" s="569"/>
      <c r="G6" s="569"/>
      <c r="H6" s="569"/>
      <c r="I6" s="569"/>
      <c r="J6" s="569"/>
      <c r="K6" s="569"/>
      <c r="L6" s="569"/>
      <c r="M6" s="569"/>
      <c r="N6" s="569"/>
      <c r="O6" s="569"/>
      <c r="P6" s="569"/>
      <c r="Q6" s="569"/>
      <c r="R6" s="569"/>
      <c r="S6" s="569"/>
      <c r="T6" s="569"/>
      <c r="U6" s="569"/>
      <c r="V6" s="569"/>
      <c r="W6" s="569"/>
      <c r="X6" s="570"/>
    </row>
    <row r="7" spans="1:36" s="199" customFormat="1" ht="15" customHeight="1" x14ac:dyDescent="0.25">
      <c r="A7" s="571" t="s">
        <v>45</v>
      </c>
      <c r="B7" s="572"/>
      <c r="C7" s="572"/>
      <c r="D7" s="572"/>
      <c r="E7" s="572"/>
      <c r="F7" s="572"/>
      <c r="G7" s="572"/>
      <c r="H7" s="572"/>
      <c r="I7" s="572"/>
      <c r="J7" s="195" t="s">
        <v>113</v>
      </c>
      <c r="K7" s="196" t="s">
        <v>114</v>
      </c>
      <c r="L7" s="196"/>
      <c r="M7" s="196"/>
      <c r="N7" s="196"/>
      <c r="O7" s="196"/>
      <c r="P7" s="196"/>
      <c r="Q7" s="196"/>
      <c r="R7" s="196"/>
      <c r="S7" s="196"/>
      <c r="T7" s="196"/>
      <c r="U7" s="196"/>
      <c r="V7" s="196"/>
      <c r="W7" s="196"/>
      <c r="X7" s="197"/>
      <c r="Y7" s="198"/>
      <c r="Z7" s="198"/>
      <c r="AA7" s="198"/>
      <c r="AB7" s="198"/>
      <c r="AC7" s="198"/>
      <c r="AD7" s="198"/>
      <c r="AE7" s="198"/>
      <c r="AF7" s="198"/>
      <c r="AG7" s="198"/>
      <c r="AH7" s="198"/>
      <c r="AI7" s="198"/>
      <c r="AJ7" s="198"/>
    </row>
    <row r="8" spans="1:36" s="199" customFormat="1" ht="15" customHeight="1" x14ac:dyDescent="0.25">
      <c r="A8" s="194" t="s">
        <v>115</v>
      </c>
      <c r="B8" s="195"/>
      <c r="C8" s="195"/>
      <c r="D8" s="195"/>
      <c r="E8" s="195"/>
      <c r="F8" s="195"/>
      <c r="G8" s="195"/>
      <c r="H8" s="195"/>
      <c r="I8" s="195"/>
      <c r="J8" s="195" t="s">
        <v>113</v>
      </c>
      <c r="K8" s="200" t="s">
        <v>712</v>
      </c>
      <c r="L8" s="200"/>
      <c r="T8" s="200"/>
      <c r="U8" s="200"/>
      <c r="V8" s="200"/>
      <c r="W8" s="200"/>
      <c r="X8" s="201"/>
      <c r="Y8" s="198"/>
      <c r="Z8" s="198"/>
      <c r="AA8" s="198"/>
      <c r="AB8" s="198"/>
      <c r="AC8" s="198"/>
      <c r="AD8" s="198"/>
      <c r="AE8" s="198"/>
      <c r="AF8" s="198"/>
      <c r="AG8" s="198"/>
      <c r="AH8" s="198"/>
      <c r="AI8" s="198"/>
      <c r="AJ8" s="198"/>
    </row>
    <row r="9" spans="1:36" s="199" customFormat="1" ht="15" customHeight="1" x14ac:dyDescent="0.25">
      <c r="A9" s="573" t="s">
        <v>116</v>
      </c>
      <c r="B9" s="574"/>
      <c r="C9" s="574"/>
      <c r="D9" s="574"/>
      <c r="E9" s="574"/>
      <c r="F9" s="574"/>
      <c r="G9" s="574"/>
      <c r="H9" s="574"/>
      <c r="I9" s="574"/>
      <c r="J9" s="203" t="s">
        <v>113</v>
      </c>
      <c r="K9" s="204" t="s">
        <v>713</v>
      </c>
      <c r="L9" s="196"/>
      <c r="M9" s="204"/>
      <c r="N9" s="204"/>
      <c r="O9" s="204"/>
      <c r="P9" s="204"/>
      <c r="Q9" s="204"/>
      <c r="R9" s="204"/>
      <c r="S9" s="204"/>
      <c r="T9" s="196"/>
      <c r="U9" s="196"/>
      <c r="V9" s="196"/>
      <c r="W9" s="196"/>
      <c r="X9" s="197"/>
      <c r="Y9" s="198"/>
      <c r="Z9" s="198"/>
      <c r="AA9" s="198"/>
      <c r="AB9" s="198"/>
      <c r="AC9" s="198"/>
      <c r="AD9" s="198"/>
      <c r="AE9" s="198"/>
      <c r="AF9" s="198"/>
      <c r="AG9" s="198"/>
      <c r="AH9" s="198"/>
      <c r="AI9" s="198"/>
      <c r="AJ9" s="198"/>
    </row>
    <row r="10" spans="1:36" s="199" customFormat="1" ht="14.25" customHeight="1" x14ac:dyDescent="0.25">
      <c r="A10" s="202" t="s">
        <v>117</v>
      </c>
      <c r="B10" s="203"/>
      <c r="C10" s="205"/>
      <c r="D10" s="205"/>
      <c r="E10" s="205"/>
      <c r="F10" s="205"/>
      <c r="G10" s="205"/>
      <c r="H10" s="205"/>
      <c r="I10" s="203"/>
      <c r="J10" s="195" t="s">
        <v>113</v>
      </c>
      <c r="K10" s="206" t="s">
        <v>616</v>
      </c>
      <c r="L10" s="196"/>
      <c r="M10" s="196"/>
      <c r="N10" s="196"/>
      <c r="O10" s="196"/>
      <c r="P10" s="196"/>
      <c r="Q10" s="196"/>
      <c r="R10" s="196"/>
      <c r="S10" s="196"/>
      <c r="T10" s="207"/>
      <c r="U10" s="196"/>
      <c r="V10" s="196"/>
      <c r="W10" s="196"/>
      <c r="X10" s="197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</row>
    <row r="11" spans="1:36" s="199" customFormat="1" ht="14.25" customHeight="1" x14ac:dyDescent="0.25">
      <c r="A11" s="208" t="s">
        <v>118</v>
      </c>
      <c r="B11" s="209"/>
      <c r="C11" s="210"/>
      <c r="D11" s="210"/>
      <c r="E11" s="210"/>
      <c r="F11" s="210"/>
      <c r="G11" s="210"/>
      <c r="H11" s="210"/>
      <c r="I11" s="209"/>
      <c r="J11" s="195" t="s">
        <v>119</v>
      </c>
      <c r="K11" s="206" t="s">
        <v>114</v>
      </c>
      <c r="L11" s="211"/>
      <c r="M11" s="211"/>
      <c r="N11" s="211"/>
      <c r="O11" s="211"/>
      <c r="P11" s="211"/>
      <c r="Q11" s="211"/>
      <c r="R11" s="211"/>
      <c r="S11" s="211"/>
      <c r="T11" s="212"/>
      <c r="U11" s="211"/>
      <c r="V11" s="211"/>
      <c r="W11" s="211"/>
      <c r="X11" s="213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</row>
    <row r="12" spans="1:36" s="199" customFormat="1" ht="15.75" x14ac:dyDescent="0.25">
      <c r="A12" s="208" t="s">
        <v>120</v>
      </c>
      <c r="B12" s="209"/>
      <c r="C12" s="210"/>
      <c r="D12" s="210"/>
      <c r="E12" s="210"/>
      <c r="F12" s="210"/>
      <c r="G12" s="210"/>
      <c r="H12" s="210"/>
      <c r="I12" s="209"/>
      <c r="J12" s="195" t="s">
        <v>113</v>
      </c>
      <c r="K12" s="214" t="s">
        <v>718</v>
      </c>
      <c r="L12" s="211"/>
      <c r="M12" s="211"/>
      <c r="N12" s="211"/>
      <c r="O12" s="211"/>
      <c r="P12" s="211"/>
      <c r="Q12" s="211"/>
      <c r="R12" s="211"/>
      <c r="S12" s="211"/>
      <c r="T12" s="212"/>
      <c r="U12" s="211"/>
      <c r="V12" s="211"/>
      <c r="W12" s="211"/>
      <c r="X12" s="213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</row>
    <row r="13" spans="1:36" s="199" customFormat="1" ht="18" customHeight="1" x14ac:dyDescent="0.25">
      <c r="A13" s="559" t="s">
        <v>121</v>
      </c>
      <c r="B13" s="560"/>
      <c r="C13" s="560"/>
      <c r="D13" s="560"/>
      <c r="E13" s="560"/>
      <c r="F13" s="560"/>
      <c r="G13" s="560"/>
      <c r="H13" s="560"/>
      <c r="I13" s="560"/>
      <c r="J13" s="560"/>
      <c r="K13" s="560"/>
      <c r="L13" s="560"/>
      <c r="M13" s="560"/>
      <c r="N13" s="560"/>
      <c r="O13" s="560"/>
      <c r="P13" s="560"/>
      <c r="Q13" s="560"/>
      <c r="R13" s="560"/>
      <c r="S13" s="560"/>
      <c r="T13" s="560"/>
      <c r="U13" s="560"/>
      <c r="V13" s="560"/>
      <c r="W13" s="560"/>
      <c r="X13" s="561"/>
    </row>
    <row r="14" spans="1:36" s="199" customFormat="1" ht="15.75" x14ac:dyDescent="0.25">
      <c r="A14" s="578" t="s">
        <v>122</v>
      </c>
      <c r="B14" s="579"/>
      <c r="C14" s="579"/>
      <c r="D14" s="579"/>
      <c r="E14" s="579"/>
      <c r="F14" s="579"/>
      <c r="G14" s="579"/>
      <c r="H14" s="579"/>
      <c r="I14" s="580"/>
      <c r="J14" s="581" t="s">
        <v>123</v>
      </c>
      <c r="K14" s="579"/>
      <c r="L14" s="579"/>
      <c r="M14" s="579"/>
      <c r="N14" s="579"/>
      <c r="O14" s="579"/>
      <c r="P14" s="579"/>
      <c r="Q14" s="579"/>
      <c r="R14" s="579"/>
      <c r="S14" s="579"/>
      <c r="T14" s="579"/>
      <c r="U14" s="579"/>
      <c r="V14" s="581" t="s">
        <v>124</v>
      </c>
      <c r="W14" s="579"/>
      <c r="X14" s="582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</row>
    <row r="15" spans="1:36" s="199" customFormat="1" ht="17.25" customHeight="1" x14ac:dyDescent="0.25">
      <c r="A15" s="573" t="s">
        <v>125</v>
      </c>
      <c r="B15" s="574"/>
      <c r="C15" s="574"/>
      <c r="D15" s="574"/>
      <c r="E15" s="574"/>
      <c r="F15" s="574"/>
      <c r="G15" s="574"/>
      <c r="H15" s="574"/>
      <c r="I15" s="583"/>
      <c r="J15" s="203" t="s">
        <v>119</v>
      </c>
      <c r="K15" s="200"/>
      <c r="L15" s="196"/>
      <c r="M15" s="196"/>
      <c r="N15" s="196"/>
      <c r="O15" s="196"/>
      <c r="P15" s="196"/>
      <c r="Q15" s="196"/>
      <c r="R15" s="196"/>
      <c r="S15" s="196"/>
      <c r="T15" s="207"/>
      <c r="U15" s="196"/>
      <c r="V15" s="215"/>
      <c r="W15" s="196"/>
      <c r="X15" s="197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</row>
    <row r="16" spans="1:36" s="199" customFormat="1" ht="15.75" customHeight="1" x14ac:dyDescent="0.25">
      <c r="A16" s="571" t="s">
        <v>126</v>
      </c>
      <c r="B16" s="572"/>
      <c r="C16" s="572"/>
      <c r="D16" s="572"/>
      <c r="E16" s="572"/>
      <c r="F16" s="572"/>
      <c r="G16" s="572"/>
      <c r="H16" s="572"/>
      <c r="I16" s="584"/>
      <c r="J16" s="216" t="s">
        <v>119</v>
      </c>
      <c r="K16" s="217" t="s">
        <v>127</v>
      </c>
      <c r="L16" s="217"/>
      <c r="M16" s="217"/>
      <c r="N16" s="217"/>
      <c r="O16" s="217"/>
      <c r="P16" s="217"/>
      <c r="Q16" s="217"/>
      <c r="R16" s="217"/>
      <c r="S16" s="217"/>
      <c r="T16" s="218"/>
      <c r="U16" s="217"/>
      <c r="V16" s="591"/>
      <c r="W16" s="592"/>
      <c r="X16" s="593"/>
      <c r="Y16" s="198"/>
      <c r="Z16" s="198"/>
      <c r="AA16" s="198"/>
      <c r="AB16" s="198"/>
      <c r="AC16" s="198"/>
      <c r="AD16" s="198"/>
      <c r="AE16" s="198"/>
      <c r="AF16" s="198"/>
      <c r="AG16" s="198"/>
      <c r="AH16" s="198"/>
      <c r="AI16" s="198"/>
      <c r="AJ16" s="198"/>
    </row>
    <row r="17" spans="1:51" s="199" customFormat="1" ht="15.75" customHeight="1" x14ac:dyDescent="0.25">
      <c r="A17" s="585"/>
      <c r="B17" s="586"/>
      <c r="C17" s="586"/>
      <c r="D17" s="586"/>
      <c r="E17" s="586"/>
      <c r="F17" s="586"/>
      <c r="G17" s="586"/>
      <c r="H17" s="586"/>
      <c r="I17" s="587"/>
      <c r="J17" s="222" t="s">
        <v>119</v>
      </c>
      <c r="K17" s="223" t="s">
        <v>128</v>
      </c>
      <c r="L17" s="223"/>
      <c r="M17" s="223"/>
      <c r="N17" s="223"/>
      <c r="O17" s="223"/>
      <c r="P17" s="223"/>
      <c r="Q17" s="223"/>
      <c r="R17" s="223"/>
      <c r="S17" s="223"/>
      <c r="T17" s="224"/>
      <c r="U17" s="223"/>
      <c r="V17" s="594"/>
      <c r="W17" s="595"/>
      <c r="X17" s="596"/>
      <c r="Y17" s="198"/>
      <c r="Z17" s="198"/>
      <c r="AA17" s="198"/>
      <c r="AB17" s="198"/>
      <c r="AC17" s="198"/>
      <c r="AD17" s="198"/>
      <c r="AE17" s="198"/>
      <c r="AF17" s="198"/>
      <c r="AG17" s="198"/>
      <c r="AH17" s="198"/>
      <c r="AI17" s="198"/>
      <c r="AJ17" s="198"/>
    </row>
    <row r="18" spans="1:51" s="199" customFormat="1" ht="13.5" customHeight="1" x14ac:dyDescent="0.25">
      <c r="A18" s="585"/>
      <c r="B18" s="586"/>
      <c r="C18" s="586"/>
      <c r="D18" s="586"/>
      <c r="E18" s="586"/>
      <c r="F18" s="586"/>
      <c r="G18" s="586"/>
      <c r="H18" s="586"/>
      <c r="I18" s="587"/>
      <c r="J18" s="222" t="s">
        <v>119</v>
      </c>
      <c r="K18" s="223" t="s">
        <v>129</v>
      </c>
      <c r="L18" s="223"/>
      <c r="M18" s="223"/>
      <c r="N18" s="223"/>
      <c r="O18" s="223"/>
      <c r="P18" s="223"/>
      <c r="Q18" s="223"/>
      <c r="R18" s="223"/>
      <c r="S18" s="223"/>
      <c r="T18" s="224"/>
      <c r="U18" s="223"/>
      <c r="V18" s="594"/>
      <c r="W18" s="595"/>
      <c r="X18" s="596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</row>
    <row r="19" spans="1:51" s="199" customFormat="1" ht="15.75" customHeight="1" x14ac:dyDescent="0.25">
      <c r="A19" s="588"/>
      <c r="B19" s="589"/>
      <c r="C19" s="589"/>
      <c r="D19" s="589"/>
      <c r="E19" s="589"/>
      <c r="F19" s="589"/>
      <c r="G19" s="589"/>
      <c r="H19" s="589"/>
      <c r="I19" s="590"/>
      <c r="J19" s="226" t="s">
        <v>119</v>
      </c>
      <c r="K19" s="211" t="s">
        <v>130</v>
      </c>
      <c r="L19" s="211"/>
      <c r="M19" s="211"/>
      <c r="N19" s="211"/>
      <c r="O19" s="211"/>
      <c r="P19" s="211"/>
      <c r="Q19" s="211"/>
      <c r="R19" s="211"/>
      <c r="S19" s="211"/>
      <c r="T19" s="212"/>
      <c r="U19" s="211"/>
      <c r="V19" s="597"/>
      <c r="W19" s="598"/>
      <c r="X19" s="599"/>
      <c r="Y19" s="198"/>
      <c r="Z19" s="198"/>
      <c r="AA19" s="198"/>
      <c r="AB19" s="198"/>
      <c r="AC19" s="198"/>
      <c r="AD19" s="198"/>
      <c r="AE19" s="198"/>
      <c r="AF19" s="198"/>
      <c r="AG19" s="198"/>
      <c r="AH19" s="198"/>
      <c r="AI19" s="198"/>
      <c r="AJ19" s="198"/>
    </row>
    <row r="20" spans="1:51" s="199" customFormat="1" ht="15.75" customHeight="1" x14ac:dyDescent="0.25">
      <c r="A20" s="585" t="s">
        <v>131</v>
      </c>
      <c r="B20" s="586"/>
      <c r="C20" s="586"/>
      <c r="D20" s="586"/>
      <c r="E20" s="586"/>
      <c r="F20" s="586"/>
      <c r="G20" s="586"/>
      <c r="H20" s="586"/>
      <c r="I20" s="587"/>
      <c r="J20" s="220" t="s">
        <v>119</v>
      </c>
      <c r="K20" s="200" t="s">
        <v>714</v>
      </c>
      <c r="L20" s="196"/>
      <c r="M20" s="196"/>
      <c r="N20" s="196"/>
      <c r="O20" s="196"/>
      <c r="P20" s="196"/>
      <c r="Q20" s="196"/>
      <c r="R20" s="196"/>
      <c r="S20" s="196"/>
      <c r="T20" s="207"/>
      <c r="U20" s="196"/>
      <c r="V20" s="575"/>
      <c r="W20" s="576"/>
      <c r="X20" s="577"/>
      <c r="Y20" s="198"/>
      <c r="Z20" s="198"/>
      <c r="AA20" s="198"/>
      <c r="AB20" s="198"/>
      <c r="AC20" s="198"/>
      <c r="AD20" s="198"/>
      <c r="AE20" s="198"/>
      <c r="AF20" s="198"/>
      <c r="AG20" s="198"/>
      <c r="AH20" s="198"/>
      <c r="AI20" s="198"/>
      <c r="AJ20" s="198"/>
    </row>
    <row r="21" spans="1:51" s="199" customFormat="1" ht="15.75" customHeight="1" x14ac:dyDescent="0.25">
      <c r="A21" s="219"/>
      <c r="B21" s="220"/>
      <c r="C21" s="220"/>
      <c r="D21" s="220"/>
      <c r="E21" s="220"/>
      <c r="F21" s="220"/>
      <c r="G21" s="220"/>
      <c r="H21" s="220"/>
      <c r="I21" s="221"/>
      <c r="J21" s="229"/>
      <c r="K21" s="200"/>
      <c r="L21" s="196"/>
      <c r="M21" s="196"/>
      <c r="N21" s="196"/>
      <c r="O21" s="196"/>
      <c r="P21" s="196"/>
      <c r="Q21" s="196"/>
      <c r="R21" s="196"/>
      <c r="S21" s="196"/>
      <c r="T21" s="207"/>
      <c r="U21" s="196"/>
      <c r="V21" s="575"/>
      <c r="W21" s="576"/>
      <c r="X21" s="577"/>
      <c r="Y21" s="198"/>
      <c r="Z21" s="198"/>
      <c r="AA21" s="198"/>
      <c r="AB21" s="198"/>
      <c r="AC21" s="198"/>
      <c r="AD21" s="198"/>
      <c r="AE21" s="198"/>
      <c r="AF21" s="198"/>
      <c r="AG21" s="198"/>
      <c r="AH21" s="198"/>
      <c r="AI21" s="198"/>
      <c r="AJ21" s="198"/>
    </row>
    <row r="22" spans="1:51" s="199" customFormat="1" ht="15.75" x14ac:dyDescent="0.25">
      <c r="A22" s="219"/>
      <c r="B22" s="220"/>
      <c r="C22" s="220"/>
      <c r="D22" s="220"/>
      <c r="E22" s="220"/>
      <c r="F22" s="220"/>
      <c r="G22" s="220"/>
      <c r="H22" s="220"/>
      <c r="I22" s="221"/>
      <c r="J22" s="229"/>
      <c r="K22" s="600"/>
      <c r="L22" s="600"/>
      <c r="M22" s="600"/>
      <c r="N22" s="600"/>
      <c r="O22" s="600"/>
      <c r="P22" s="600"/>
      <c r="Q22" s="600"/>
      <c r="R22" s="600"/>
      <c r="S22" s="600"/>
      <c r="T22" s="600"/>
      <c r="U22" s="601"/>
      <c r="V22" s="575"/>
      <c r="W22" s="576"/>
      <c r="X22" s="577"/>
      <c r="Y22" s="198"/>
      <c r="Z22" s="198"/>
      <c r="AA22" s="198"/>
      <c r="AB22" s="198"/>
      <c r="AC22" s="198"/>
      <c r="AD22" s="198"/>
      <c r="AE22" s="198"/>
      <c r="AF22" s="198"/>
      <c r="AG22" s="198"/>
      <c r="AH22" s="198"/>
      <c r="AI22" s="198"/>
      <c r="AJ22" s="198"/>
    </row>
    <row r="23" spans="1:51" s="199" customFormat="1" ht="15.75" customHeight="1" x14ac:dyDescent="0.25">
      <c r="A23" s="219"/>
      <c r="B23" s="220"/>
      <c r="C23" s="220"/>
      <c r="D23" s="220"/>
      <c r="E23" s="220"/>
      <c r="F23" s="220"/>
      <c r="G23" s="220"/>
      <c r="H23" s="220"/>
      <c r="I23" s="221"/>
      <c r="J23" s="229"/>
      <c r="K23" s="204"/>
      <c r="L23" s="211"/>
      <c r="M23" s="211"/>
      <c r="N23" s="211"/>
      <c r="O23" s="211"/>
      <c r="P23" s="211"/>
      <c r="Q23" s="211"/>
      <c r="R23" s="211"/>
      <c r="S23" s="211"/>
      <c r="T23" s="212"/>
      <c r="U23" s="211"/>
      <c r="V23" s="575"/>
      <c r="W23" s="576"/>
      <c r="X23" s="577"/>
      <c r="Y23" s="198"/>
      <c r="Z23" s="198"/>
      <c r="AA23" s="198"/>
      <c r="AB23" s="198"/>
      <c r="AC23" s="198"/>
      <c r="AD23" s="198"/>
      <c r="AE23" s="198"/>
      <c r="AF23" s="198"/>
      <c r="AG23" s="198"/>
      <c r="AH23" s="198"/>
      <c r="AI23" s="198"/>
      <c r="AJ23" s="198"/>
    </row>
    <row r="24" spans="1:51" s="199" customFormat="1" ht="16.5" customHeight="1" x14ac:dyDescent="0.25">
      <c r="A24" s="573" t="s">
        <v>132</v>
      </c>
      <c r="B24" s="574"/>
      <c r="C24" s="574"/>
      <c r="D24" s="574"/>
      <c r="E24" s="574"/>
      <c r="F24" s="574"/>
      <c r="G24" s="574"/>
      <c r="H24" s="574"/>
      <c r="I24" s="583"/>
      <c r="J24" s="203" t="s">
        <v>119</v>
      </c>
      <c r="K24" s="200"/>
      <c r="L24" s="196"/>
      <c r="M24" s="196"/>
      <c r="N24" s="196"/>
      <c r="O24" s="196"/>
      <c r="P24" s="196"/>
      <c r="Q24" s="196"/>
      <c r="R24" s="196"/>
      <c r="S24" s="196"/>
      <c r="T24" s="207"/>
      <c r="U24" s="196"/>
      <c r="V24" s="230"/>
      <c r="W24" s="196"/>
      <c r="X24" s="197"/>
      <c r="Y24" s="198"/>
      <c r="Z24" s="198"/>
      <c r="AA24" s="198"/>
      <c r="AB24" s="198"/>
      <c r="AC24" s="198"/>
      <c r="AD24" s="198"/>
      <c r="AE24" s="198"/>
      <c r="AF24" s="198"/>
      <c r="AG24" s="198"/>
      <c r="AH24" s="198"/>
      <c r="AI24" s="198"/>
      <c r="AJ24" s="198"/>
    </row>
    <row r="25" spans="1:51" s="199" customFormat="1" ht="16.5" customHeight="1" x14ac:dyDescent="0.25">
      <c r="A25" s="208"/>
      <c r="B25" s="209"/>
      <c r="C25" s="209"/>
      <c r="D25" s="209"/>
      <c r="E25" s="209"/>
      <c r="F25" s="209"/>
      <c r="G25" s="209"/>
      <c r="H25" s="209"/>
      <c r="I25" s="225"/>
      <c r="J25" s="209"/>
      <c r="K25" s="200"/>
      <c r="L25" s="211"/>
      <c r="M25" s="211"/>
      <c r="N25" s="211"/>
      <c r="O25" s="211"/>
      <c r="P25" s="211"/>
      <c r="Q25" s="211"/>
      <c r="R25" s="211"/>
      <c r="S25" s="211"/>
      <c r="T25" s="212"/>
      <c r="U25" s="211"/>
      <c r="V25" s="230"/>
      <c r="W25" s="211"/>
      <c r="X25" s="213"/>
      <c r="Y25" s="198"/>
      <c r="Z25" s="198"/>
      <c r="AA25" s="198"/>
      <c r="AB25" s="198"/>
      <c r="AC25" s="198"/>
      <c r="AD25" s="198"/>
      <c r="AE25" s="198"/>
      <c r="AF25" s="198"/>
      <c r="AG25" s="198"/>
      <c r="AH25" s="198"/>
      <c r="AI25" s="198"/>
      <c r="AJ25" s="198"/>
    </row>
    <row r="26" spans="1:51" s="199" customFormat="1" ht="16.5" customHeight="1" x14ac:dyDescent="0.25">
      <c r="A26" s="208"/>
      <c r="B26" s="209"/>
      <c r="C26" s="209"/>
      <c r="D26" s="209"/>
      <c r="E26" s="209"/>
      <c r="F26" s="209"/>
      <c r="G26" s="209"/>
      <c r="H26" s="209"/>
      <c r="I26" s="225"/>
      <c r="J26" s="209"/>
      <c r="K26" s="200"/>
      <c r="L26" s="211"/>
      <c r="M26" s="211"/>
      <c r="N26" s="211"/>
      <c r="O26" s="211"/>
      <c r="P26" s="211"/>
      <c r="Q26" s="211"/>
      <c r="R26" s="211"/>
      <c r="S26" s="211"/>
      <c r="T26" s="212"/>
      <c r="U26" s="211"/>
      <c r="V26" s="230"/>
      <c r="W26" s="211"/>
      <c r="X26" s="213"/>
      <c r="Y26" s="198"/>
      <c r="Z26" s="198"/>
      <c r="AA26" s="198"/>
      <c r="AB26" s="198"/>
      <c r="AC26" s="198"/>
      <c r="AD26" s="198"/>
      <c r="AE26" s="198"/>
      <c r="AF26" s="198"/>
      <c r="AG26" s="198"/>
      <c r="AH26" s="198"/>
      <c r="AI26" s="198"/>
      <c r="AJ26" s="198"/>
    </row>
    <row r="27" spans="1:51" s="199" customFormat="1" ht="16.5" customHeight="1" x14ac:dyDescent="0.25">
      <c r="A27" s="208"/>
      <c r="B27" s="209"/>
      <c r="C27" s="209"/>
      <c r="D27" s="209"/>
      <c r="E27" s="209"/>
      <c r="F27" s="209"/>
      <c r="G27" s="209"/>
      <c r="H27" s="209"/>
      <c r="I27" s="225"/>
      <c r="J27" s="209"/>
      <c r="K27" s="200"/>
      <c r="L27" s="211"/>
      <c r="M27" s="211"/>
      <c r="N27" s="211"/>
      <c r="O27" s="211"/>
      <c r="P27" s="211"/>
      <c r="Q27" s="211"/>
      <c r="R27" s="211"/>
      <c r="S27" s="211"/>
      <c r="T27" s="212"/>
      <c r="U27" s="211"/>
      <c r="V27" s="231"/>
      <c r="W27" s="211"/>
      <c r="X27" s="213"/>
      <c r="Y27" s="198"/>
      <c r="Z27" s="198"/>
      <c r="AA27" s="198"/>
      <c r="AB27" s="198"/>
      <c r="AC27" s="198"/>
      <c r="AD27" s="198"/>
      <c r="AE27" s="198"/>
      <c r="AF27" s="198"/>
      <c r="AG27" s="198"/>
      <c r="AH27" s="198"/>
      <c r="AI27" s="198"/>
      <c r="AJ27" s="198"/>
    </row>
    <row r="28" spans="1:51" s="199" customFormat="1" ht="18.75" customHeight="1" x14ac:dyDescent="0.25">
      <c r="A28" s="602" t="s">
        <v>133</v>
      </c>
      <c r="B28" s="603"/>
      <c r="C28" s="603"/>
      <c r="D28" s="603"/>
      <c r="E28" s="603"/>
      <c r="F28" s="603"/>
      <c r="G28" s="603"/>
      <c r="H28" s="603"/>
      <c r="I28" s="604"/>
      <c r="J28" s="209" t="s">
        <v>119</v>
      </c>
      <c r="K28" s="200"/>
      <c r="L28" s="211"/>
      <c r="M28" s="211"/>
      <c r="N28" s="211"/>
      <c r="O28" s="211"/>
      <c r="P28" s="211"/>
      <c r="Q28" s="211"/>
      <c r="R28" s="211"/>
      <c r="S28" s="211"/>
      <c r="T28" s="212"/>
      <c r="U28" s="211"/>
      <c r="V28" s="200"/>
      <c r="W28" s="232"/>
      <c r="X28" s="233"/>
      <c r="Y28" s="198"/>
      <c r="Z28" s="198"/>
      <c r="AA28" s="198"/>
      <c r="AB28" s="198"/>
      <c r="AC28" s="198"/>
      <c r="AD28" s="198"/>
      <c r="AE28" s="198"/>
      <c r="AF28" s="198"/>
      <c r="AG28" s="198"/>
      <c r="AH28" s="198"/>
      <c r="AI28" s="198"/>
      <c r="AJ28" s="198"/>
    </row>
    <row r="29" spans="1:51" s="199" customFormat="1" ht="15.75" x14ac:dyDescent="0.25">
      <c r="A29" s="605" t="s">
        <v>134</v>
      </c>
      <c r="B29" s="606"/>
      <c r="C29" s="606"/>
      <c r="D29" s="606"/>
      <c r="E29" s="606"/>
      <c r="F29" s="606"/>
      <c r="G29" s="606"/>
      <c r="H29" s="606"/>
      <c r="I29" s="606"/>
      <c r="J29" s="606"/>
      <c r="K29" s="606"/>
      <c r="L29" s="606"/>
      <c r="M29" s="606"/>
      <c r="N29" s="606"/>
      <c r="O29" s="606"/>
      <c r="P29" s="606"/>
      <c r="Q29" s="606"/>
      <c r="R29" s="606"/>
      <c r="S29" s="606"/>
      <c r="T29" s="606"/>
      <c r="U29" s="606"/>
      <c r="V29" s="606"/>
      <c r="W29" s="606"/>
      <c r="X29" s="607"/>
    </row>
    <row r="30" spans="1:51" s="199" customFormat="1" ht="16.5" thickBot="1" x14ac:dyDescent="0.3">
      <c r="A30" s="608" t="s">
        <v>135</v>
      </c>
      <c r="B30" s="609"/>
      <c r="C30" s="609"/>
      <c r="D30" s="609"/>
      <c r="E30" s="609"/>
      <c r="F30" s="609"/>
      <c r="G30" s="609"/>
      <c r="H30" s="609"/>
      <c r="I30" s="609"/>
      <c r="J30" s="609"/>
      <c r="K30" s="609"/>
      <c r="L30" s="609"/>
      <c r="M30" s="609"/>
      <c r="N30" s="609"/>
      <c r="O30" s="609"/>
      <c r="P30" s="609"/>
      <c r="Q30" s="609"/>
      <c r="R30" s="609"/>
      <c r="S30" s="609"/>
      <c r="T30" s="609"/>
      <c r="U30" s="609"/>
      <c r="V30" s="609"/>
      <c r="W30" s="609"/>
      <c r="X30" s="610"/>
    </row>
    <row r="31" spans="1:51" s="199" customFormat="1" ht="10.5" customHeight="1" x14ac:dyDescent="0.25">
      <c r="A31" s="611" t="s">
        <v>136</v>
      </c>
      <c r="B31" s="612"/>
      <c r="C31" s="612"/>
      <c r="D31" s="612"/>
      <c r="E31" s="612"/>
      <c r="F31" s="612"/>
      <c r="G31" s="612"/>
      <c r="H31" s="613"/>
      <c r="I31" s="620" t="s">
        <v>137</v>
      </c>
      <c r="J31" s="612"/>
      <c r="K31" s="613"/>
      <c r="L31" s="620" t="s">
        <v>138</v>
      </c>
      <c r="M31" s="612"/>
      <c r="N31" s="612"/>
      <c r="O31" s="612"/>
      <c r="P31" s="612"/>
      <c r="Q31" s="612"/>
      <c r="R31" s="612"/>
      <c r="S31" s="612"/>
      <c r="T31" s="612"/>
      <c r="U31" s="612"/>
      <c r="V31" s="613"/>
      <c r="W31" s="623" t="s">
        <v>139</v>
      </c>
      <c r="X31" s="625" t="s">
        <v>140</v>
      </c>
      <c r="Y31" s="636" t="s">
        <v>567</v>
      </c>
      <c r="Z31" s="636"/>
      <c r="AA31" s="636"/>
      <c r="AB31" s="636"/>
      <c r="AC31" s="636"/>
      <c r="AD31" s="636"/>
      <c r="AE31" s="636"/>
      <c r="AF31" s="636"/>
      <c r="AG31" s="636"/>
      <c r="AH31" s="636"/>
      <c r="AI31" s="636"/>
      <c r="AJ31" s="637"/>
      <c r="AK31" s="642" t="s">
        <v>139</v>
      </c>
      <c r="AL31" s="645" t="s">
        <v>568</v>
      </c>
      <c r="AM31" s="636"/>
      <c r="AN31" s="636"/>
      <c r="AO31" s="636"/>
      <c r="AP31" s="636"/>
      <c r="AQ31" s="636"/>
      <c r="AR31" s="636"/>
      <c r="AS31" s="636"/>
      <c r="AT31" s="636"/>
      <c r="AU31" s="636"/>
      <c r="AV31" s="636"/>
      <c r="AW31" s="637"/>
      <c r="AX31" s="642" t="s">
        <v>139</v>
      </c>
      <c r="AY31" s="648" t="s">
        <v>141</v>
      </c>
    </row>
    <row r="32" spans="1:51" s="199" customFormat="1" ht="6.75" customHeight="1" x14ac:dyDescent="0.25">
      <c r="A32" s="614"/>
      <c r="B32" s="615"/>
      <c r="C32" s="615"/>
      <c r="D32" s="615"/>
      <c r="E32" s="615"/>
      <c r="F32" s="615"/>
      <c r="G32" s="615"/>
      <c r="H32" s="616"/>
      <c r="I32" s="621"/>
      <c r="J32" s="615"/>
      <c r="K32" s="616"/>
      <c r="L32" s="621"/>
      <c r="M32" s="615"/>
      <c r="N32" s="615"/>
      <c r="O32" s="615"/>
      <c r="P32" s="615"/>
      <c r="Q32" s="615"/>
      <c r="R32" s="615"/>
      <c r="S32" s="615"/>
      <c r="T32" s="615"/>
      <c r="U32" s="615"/>
      <c r="V32" s="616"/>
      <c r="W32" s="624"/>
      <c r="X32" s="626"/>
      <c r="Y32" s="638"/>
      <c r="Z32" s="638"/>
      <c r="AA32" s="638"/>
      <c r="AB32" s="638"/>
      <c r="AC32" s="638"/>
      <c r="AD32" s="638"/>
      <c r="AE32" s="638"/>
      <c r="AF32" s="638"/>
      <c r="AG32" s="638"/>
      <c r="AH32" s="638"/>
      <c r="AI32" s="638"/>
      <c r="AJ32" s="639"/>
      <c r="AK32" s="643"/>
      <c r="AL32" s="646"/>
      <c r="AM32" s="638"/>
      <c r="AN32" s="638"/>
      <c r="AO32" s="638"/>
      <c r="AP32" s="638"/>
      <c r="AQ32" s="638"/>
      <c r="AR32" s="638"/>
      <c r="AS32" s="638"/>
      <c r="AT32" s="638"/>
      <c r="AU32" s="638"/>
      <c r="AV32" s="638"/>
      <c r="AW32" s="639"/>
      <c r="AX32" s="643"/>
      <c r="AY32" s="649"/>
    </row>
    <row r="33" spans="1:51" s="199" customFormat="1" ht="10.5" customHeight="1" thickBot="1" x14ac:dyDescent="0.3">
      <c r="A33" s="614"/>
      <c r="B33" s="615"/>
      <c r="C33" s="615"/>
      <c r="D33" s="615"/>
      <c r="E33" s="615"/>
      <c r="F33" s="615"/>
      <c r="G33" s="615"/>
      <c r="H33" s="616"/>
      <c r="I33" s="621"/>
      <c r="J33" s="615"/>
      <c r="K33" s="616"/>
      <c r="L33" s="628" t="s">
        <v>79</v>
      </c>
      <c r="M33" s="629"/>
      <c r="N33" s="629"/>
      <c r="O33" s="629"/>
      <c r="P33" s="629"/>
      <c r="Q33" s="629"/>
      <c r="R33" s="629"/>
      <c r="S33" s="630"/>
      <c r="T33" s="631" t="s">
        <v>80</v>
      </c>
      <c r="U33" s="631" t="s">
        <v>81</v>
      </c>
      <c r="V33" s="631" t="s">
        <v>82</v>
      </c>
      <c r="W33" s="624"/>
      <c r="X33" s="626"/>
      <c r="Y33" s="640"/>
      <c r="Z33" s="640"/>
      <c r="AA33" s="640"/>
      <c r="AB33" s="640"/>
      <c r="AC33" s="640"/>
      <c r="AD33" s="640"/>
      <c r="AE33" s="640"/>
      <c r="AF33" s="640"/>
      <c r="AG33" s="640"/>
      <c r="AH33" s="640"/>
      <c r="AI33" s="640"/>
      <c r="AJ33" s="641"/>
      <c r="AK33" s="643"/>
      <c r="AL33" s="647"/>
      <c r="AM33" s="640"/>
      <c r="AN33" s="640"/>
      <c r="AO33" s="640"/>
      <c r="AP33" s="640"/>
      <c r="AQ33" s="640"/>
      <c r="AR33" s="640"/>
      <c r="AS33" s="640"/>
      <c r="AT33" s="640"/>
      <c r="AU33" s="640"/>
      <c r="AV33" s="640"/>
      <c r="AW33" s="641"/>
      <c r="AX33" s="643"/>
      <c r="AY33" s="649"/>
    </row>
    <row r="34" spans="1:51" s="199" customFormat="1" ht="8.25" customHeight="1" thickBot="1" x14ac:dyDescent="0.3">
      <c r="A34" s="614"/>
      <c r="B34" s="615"/>
      <c r="C34" s="615"/>
      <c r="D34" s="615"/>
      <c r="E34" s="615"/>
      <c r="F34" s="615"/>
      <c r="G34" s="615"/>
      <c r="H34" s="616"/>
      <c r="I34" s="621"/>
      <c r="J34" s="615"/>
      <c r="K34" s="616"/>
      <c r="L34" s="621"/>
      <c r="M34" s="615"/>
      <c r="N34" s="615"/>
      <c r="O34" s="615"/>
      <c r="P34" s="615"/>
      <c r="Q34" s="615"/>
      <c r="R34" s="615"/>
      <c r="S34" s="616"/>
      <c r="T34" s="632"/>
      <c r="U34" s="632"/>
      <c r="V34" s="632"/>
      <c r="W34" s="634" t="s">
        <v>142</v>
      </c>
      <c r="X34" s="626"/>
      <c r="Y34" s="653" t="s">
        <v>50</v>
      </c>
      <c r="Z34" s="655" t="s">
        <v>53</v>
      </c>
      <c r="AA34" s="655" t="s">
        <v>55</v>
      </c>
      <c r="AB34" s="655" t="s">
        <v>57</v>
      </c>
      <c r="AC34" s="657" t="s">
        <v>59</v>
      </c>
      <c r="AD34" s="657" t="s">
        <v>61</v>
      </c>
      <c r="AE34" s="657" t="s">
        <v>101</v>
      </c>
      <c r="AF34" s="657" t="s">
        <v>107</v>
      </c>
      <c r="AG34" s="651" t="s">
        <v>143</v>
      </c>
      <c r="AH34" s="651" t="s">
        <v>144</v>
      </c>
      <c r="AI34" s="651" t="s">
        <v>145</v>
      </c>
      <c r="AJ34" s="651" t="s">
        <v>146</v>
      </c>
      <c r="AK34" s="643"/>
      <c r="AL34" s="655" t="s">
        <v>50</v>
      </c>
      <c r="AM34" s="655" t="s">
        <v>53</v>
      </c>
      <c r="AN34" s="655" t="s">
        <v>55</v>
      </c>
      <c r="AO34" s="655" t="s">
        <v>57</v>
      </c>
      <c r="AP34" s="657" t="s">
        <v>59</v>
      </c>
      <c r="AQ34" s="657" t="s">
        <v>61</v>
      </c>
      <c r="AR34" s="657" t="s">
        <v>101</v>
      </c>
      <c r="AS34" s="657" t="s">
        <v>107</v>
      </c>
      <c r="AT34" s="651" t="s">
        <v>143</v>
      </c>
      <c r="AU34" s="651" t="s">
        <v>144</v>
      </c>
      <c r="AV34" s="651" t="s">
        <v>145</v>
      </c>
      <c r="AW34" s="651" t="s">
        <v>146</v>
      </c>
      <c r="AX34" s="643"/>
      <c r="AY34" s="649"/>
    </row>
    <row r="35" spans="1:51" s="199" customFormat="1" ht="12.75" customHeight="1" thickBot="1" x14ac:dyDescent="0.3">
      <c r="A35" s="617"/>
      <c r="B35" s="618"/>
      <c r="C35" s="618"/>
      <c r="D35" s="618"/>
      <c r="E35" s="618"/>
      <c r="F35" s="618"/>
      <c r="G35" s="618"/>
      <c r="H35" s="619"/>
      <c r="I35" s="622"/>
      <c r="J35" s="618"/>
      <c r="K35" s="619"/>
      <c r="L35" s="622"/>
      <c r="M35" s="618"/>
      <c r="N35" s="618"/>
      <c r="O35" s="618"/>
      <c r="P35" s="618"/>
      <c r="Q35" s="618"/>
      <c r="R35" s="618"/>
      <c r="S35" s="619"/>
      <c r="T35" s="633"/>
      <c r="U35" s="633"/>
      <c r="V35" s="633"/>
      <c r="W35" s="635"/>
      <c r="X35" s="627"/>
      <c r="Y35" s="654"/>
      <c r="Z35" s="656"/>
      <c r="AA35" s="656"/>
      <c r="AB35" s="656"/>
      <c r="AC35" s="658"/>
      <c r="AD35" s="658"/>
      <c r="AE35" s="658"/>
      <c r="AF35" s="658"/>
      <c r="AG35" s="652"/>
      <c r="AH35" s="652"/>
      <c r="AI35" s="652"/>
      <c r="AJ35" s="652"/>
      <c r="AK35" s="644"/>
      <c r="AL35" s="656"/>
      <c r="AM35" s="656"/>
      <c r="AN35" s="656"/>
      <c r="AO35" s="656"/>
      <c r="AP35" s="658"/>
      <c r="AQ35" s="658"/>
      <c r="AR35" s="658"/>
      <c r="AS35" s="658"/>
      <c r="AT35" s="652"/>
      <c r="AU35" s="652"/>
      <c r="AV35" s="652"/>
      <c r="AW35" s="652"/>
      <c r="AX35" s="644"/>
      <c r="AY35" s="650"/>
    </row>
    <row r="36" spans="1:51" s="199" customFormat="1" ht="15.75" x14ac:dyDescent="0.25">
      <c r="A36" s="661">
        <v>1</v>
      </c>
      <c r="B36" s="662"/>
      <c r="C36" s="662"/>
      <c r="D36" s="662"/>
      <c r="E36" s="662"/>
      <c r="F36" s="662"/>
      <c r="G36" s="662"/>
      <c r="H36" s="663"/>
      <c r="I36" s="664">
        <v>2</v>
      </c>
      <c r="J36" s="665"/>
      <c r="K36" s="666"/>
      <c r="L36" s="664">
        <v>3</v>
      </c>
      <c r="M36" s="665"/>
      <c r="N36" s="665"/>
      <c r="O36" s="665"/>
      <c r="P36" s="665"/>
      <c r="Q36" s="665"/>
      <c r="R36" s="665"/>
      <c r="S36" s="665"/>
      <c r="T36" s="234">
        <v>4</v>
      </c>
      <c r="U36" s="235">
        <v>5</v>
      </c>
      <c r="V36" s="236">
        <v>6</v>
      </c>
      <c r="W36" s="237" t="s">
        <v>147</v>
      </c>
      <c r="X36" s="237">
        <v>8</v>
      </c>
      <c r="Y36" s="238"/>
      <c r="Z36" s="239"/>
      <c r="AA36" s="239"/>
      <c r="AB36" s="239"/>
      <c r="AC36" s="240"/>
      <c r="AD36" s="240"/>
      <c r="AE36" s="240"/>
      <c r="AF36" s="240"/>
      <c r="AG36" s="241"/>
      <c r="AH36" s="241"/>
      <c r="AI36" s="241"/>
      <c r="AJ36" s="242"/>
      <c r="AK36" s="243"/>
      <c r="AL36" s="244"/>
      <c r="AM36" s="239"/>
      <c r="AN36" s="239"/>
      <c r="AO36" s="239"/>
      <c r="AP36" s="240"/>
      <c r="AQ36" s="240"/>
      <c r="AR36" s="240"/>
      <c r="AS36" s="240"/>
      <c r="AT36" s="241"/>
      <c r="AU36" s="241"/>
      <c r="AV36" s="241"/>
      <c r="AW36" s="242"/>
      <c r="AX36" s="243"/>
      <c r="AY36" s="245"/>
    </row>
    <row r="37" spans="1:51" s="268" customFormat="1" ht="15" customHeight="1" x14ac:dyDescent="0.25">
      <c r="A37" s="246"/>
      <c r="B37" s="247" t="s">
        <v>59</v>
      </c>
      <c r="C37" s="247"/>
      <c r="D37" s="247"/>
      <c r="E37" s="247"/>
      <c r="F37" s="247"/>
      <c r="G37" s="247"/>
      <c r="H37" s="248"/>
      <c r="I37" s="249"/>
      <c r="J37" s="250" t="s">
        <v>148</v>
      </c>
      <c r="K37" s="251"/>
      <c r="L37" s="252"/>
      <c r="M37" s="253"/>
      <c r="N37" s="253"/>
      <c r="O37" s="253"/>
      <c r="P37" s="253"/>
      <c r="Q37" s="253"/>
      <c r="R37" s="253"/>
      <c r="S37" s="253"/>
      <c r="T37" s="254"/>
      <c r="U37" s="254"/>
      <c r="V37" s="255"/>
      <c r="W37" s="256">
        <f t="shared" ref="W37:W38" si="0">W38</f>
        <v>7002000</v>
      </c>
      <c r="X37" s="257"/>
      <c r="Y37" s="258"/>
      <c r="Z37" s="259"/>
      <c r="AA37" s="260"/>
      <c r="AB37" s="261"/>
      <c r="AC37" s="262"/>
      <c r="AD37" s="262"/>
      <c r="AE37" s="262"/>
      <c r="AF37" s="262"/>
      <c r="AG37" s="263"/>
      <c r="AH37" s="263"/>
      <c r="AI37" s="263"/>
      <c r="AJ37" s="264"/>
      <c r="AK37" s="265"/>
      <c r="AL37" s="266"/>
      <c r="AM37" s="259"/>
      <c r="AN37" s="260"/>
      <c r="AO37" s="261"/>
      <c r="AP37" s="262"/>
      <c r="AQ37" s="262"/>
      <c r="AR37" s="262"/>
      <c r="AS37" s="262"/>
      <c r="AT37" s="263"/>
      <c r="AU37" s="263"/>
      <c r="AV37" s="263"/>
      <c r="AW37" s="264"/>
      <c r="AX37" s="265"/>
      <c r="AY37" s="267"/>
    </row>
    <row r="38" spans="1:51" s="268" customFormat="1" ht="15" customHeight="1" x14ac:dyDescent="0.25">
      <c r="A38" s="269"/>
      <c r="B38" s="270" t="s">
        <v>59</v>
      </c>
      <c r="C38" s="334" t="s">
        <v>50</v>
      </c>
      <c r="D38" s="271"/>
      <c r="E38" s="271"/>
      <c r="F38" s="272"/>
      <c r="G38" s="270"/>
      <c r="H38" s="273"/>
      <c r="I38" s="274"/>
      <c r="J38" s="275" t="s">
        <v>149</v>
      </c>
      <c r="K38" s="276"/>
      <c r="L38" s="277"/>
      <c r="M38" s="278"/>
      <c r="N38" s="278"/>
      <c r="O38" s="278"/>
      <c r="P38" s="278"/>
      <c r="Q38" s="278"/>
      <c r="R38" s="278"/>
      <c r="S38" s="278"/>
      <c r="T38" s="279"/>
      <c r="U38" s="279"/>
      <c r="V38" s="280"/>
      <c r="W38" s="281">
        <f t="shared" si="0"/>
        <v>7002000</v>
      </c>
      <c r="X38" s="257"/>
      <c r="Y38" s="258"/>
      <c r="Z38" s="259"/>
      <c r="AA38" s="261"/>
      <c r="AB38" s="261"/>
      <c r="AC38" s="262"/>
      <c r="AD38" s="262"/>
      <c r="AE38" s="262"/>
      <c r="AF38" s="262"/>
      <c r="AG38" s="263"/>
      <c r="AH38" s="263"/>
      <c r="AI38" s="263"/>
      <c r="AJ38" s="264"/>
      <c r="AK38" s="265"/>
      <c r="AL38" s="266"/>
      <c r="AM38" s="259"/>
      <c r="AN38" s="261"/>
      <c r="AO38" s="261"/>
      <c r="AP38" s="262"/>
      <c r="AQ38" s="262"/>
      <c r="AR38" s="262"/>
      <c r="AS38" s="262"/>
      <c r="AT38" s="263"/>
      <c r="AU38" s="263"/>
      <c r="AV38" s="263"/>
      <c r="AW38" s="264"/>
      <c r="AX38" s="265"/>
      <c r="AY38" s="267"/>
    </row>
    <row r="39" spans="1:51" s="268" customFormat="1" ht="15" customHeight="1" x14ac:dyDescent="0.25">
      <c r="A39" s="269"/>
      <c r="B39" s="270" t="s">
        <v>59</v>
      </c>
      <c r="C39" s="334" t="s">
        <v>50</v>
      </c>
      <c r="D39" s="288" t="s">
        <v>67</v>
      </c>
      <c r="E39" s="271"/>
      <c r="F39" s="271"/>
      <c r="G39" s="270"/>
      <c r="H39" s="273"/>
      <c r="I39" s="282"/>
      <c r="J39" s="283" t="s">
        <v>150</v>
      </c>
      <c r="K39" s="284"/>
      <c r="L39" s="285"/>
      <c r="M39" s="286"/>
      <c r="N39" s="286"/>
      <c r="O39" s="286"/>
      <c r="P39" s="286"/>
      <c r="Q39" s="286"/>
      <c r="R39" s="286"/>
      <c r="S39" s="286"/>
      <c r="T39" s="279"/>
      <c r="U39" s="279"/>
      <c r="V39" s="280"/>
      <c r="W39" s="281">
        <f>W40</f>
        <v>7002000</v>
      </c>
      <c r="X39" s="287"/>
      <c r="Y39" s="258"/>
      <c r="Z39" s="259"/>
      <c r="AA39" s="261"/>
      <c r="AB39" s="261"/>
      <c r="AC39" s="262"/>
      <c r="AD39" s="262"/>
      <c r="AE39" s="262"/>
      <c r="AF39" s="262"/>
      <c r="AG39" s="263"/>
      <c r="AH39" s="263"/>
      <c r="AI39" s="263"/>
      <c r="AJ39" s="264"/>
      <c r="AK39" s="265"/>
      <c r="AL39" s="266"/>
      <c r="AM39" s="259"/>
      <c r="AN39" s="261"/>
      <c r="AO39" s="261"/>
      <c r="AP39" s="262"/>
      <c r="AQ39" s="262"/>
      <c r="AR39" s="262"/>
      <c r="AS39" s="262"/>
      <c r="AT39" s="263"/>
      <c r="AU39" s="263"/>
      <c r="AV39" s="263"/>
      <c r="AW39" s="264"/>
      <c r="AX39" s="265"/>
      <c r="AY39" s="267"/>
    </row>
    <row r="40" spans="1:51" s="305" customFormat="1" ht="15" customHeight="1" x14ac:dyDescent="0.25">
      <c r="A40" s="269"/>
      <c r="B40" s="270" t="s">
        <v>59</v>
      </c>
      <c r="C40" s="270" t="s">
        <v>50</v>
      </c>
      <c r="D40" s="288" t="s">
        <v>67</v>
      </c>
      <c r="E40" s="288" t="s">
        <v>67</v>
      </c>
      <c r="F40" s="271"/>
      <c r="G40" s="270"/>
      <c r="H40" s="273"/>
      <c r="I40" s="289"/>
      <c r="J40" s="283" t="s">
        <v>153</v>
      </c>
      <c r="K40" s="290"/>
      <c r="L40" s="291"/>
      <c r="M40" s="292"/>
      <c r="N40" s="292"/>
      <c r="O40" s="292"/>
      <c r="P40" s="292"/>
      <c r="Q40" s="292"/>
      <c r="R40" s="292"/>
      <c r="S40" s="292"/>
      <c r="T40" s="293"/>
      <c r="U40" s="293"/>
      <c r="V40" s="294"/>
      <c r="W40" s="295">
        <f>W41</f>
        <v>7002000</v>
      </c>
      <c r="X40" s="296"/>
      <c r="Y40" s="297"/>
      <c r="Z40" s="259"/>
      <c r="AA40" s="298"/>
      <c r="AB40" s="298"/>
      <c r="AC40" s="299"/>
      <c r="AD40" s="299"/>
      <c r="AE40" s="299"/>
      <c r="AF40" s="299"/>
      <c r="AG40" s="300"/>
      <c r="AH40" s="300"/>
      <c r="AI40" s="300"/>
      <c r="AJ40" s="301"/>
      <c r="AK40" s="335"/>
      <c r="AL40" s="303"/>
      <c r="AM40" s="259"/>
      <c r="AN40" s="298"/>
      <c r="AO40" s="298"/>
      <c r="AP40" s="299"/>
      <c r="AQ40" s="299"/>
      <c r="AR40" s="299"/>
      <c r="AS40" s="299"/>
      <c r="AT40" s="300"/>
      <c r="AU40" s="300"/>
      <c r="AV40" s="300"/>
      <c r="AW40" s="301"/>
      <c r="AX40" s="335"/>
      <c r="AY40" s="336"/>
    </row>
    <row r="41" spans="1:51" s="305" customFormat="1" ht="15" customHeight="1" x14ac:dyDescent="0.25">
      <c r="A41" s="269"/>
      <c r="B41" s="270" t="s">
        <v>59</v>
      </c>
      <c r="C41" s="270" t="s">
        <v>50</v>
      </c>
      <c r="D41" s="288" t="s">
        <v>67</v>
      </c>
      <c r="E41" s="288" t="s">
        <v>67</v>
      </c>
      <c r="F41" s="271" t="s">
        <v>65</v>
      </c>
      <c r="G41" s="270"/>
      <c r="H41" s="273"/>
      <c r="I41" s="289"/>
      <c r="J41" s="283" t="s">
        <v>154</v>
      </c>
      <c r="K41" s="290"/>
      <c r="L41" s="291"/>
      <c r="M41" s="292"/>
      <c r="N41" s="292"/>
      <c r="O41" s="292"/>
      <c r="P41" s="292"/>
      <c r="Q41" s="292"/>
      <c r="R41" s="292"/>
      <c r="S41" s="292"/>
      <c r="T41" s="293"/>
      <c r="U41" s="293"/>
      <c r="V41" s="294"/>
      <c r="W41" s="295">
        <f>W42+W45</f>
        <v>7002000</v>
      </c>
      <c r="X41" s="296"/>
      <c r="Y41" s="297"/>
      <c r="Z41" s="259"/>
      <c r="AA41" s="298"/>
      <c r="AB41" s="298"/>
      <c r="AC41" s="299"/>
      <c r="AD41" s="299"/>
      <c r="AE41" s="299"/>
      <c r="AF41" s="299"/>
      <c r="AG41" s="300"/>
      <c r="AH41" s="300"/>
      <c r="AI41" s="300"/>
      <c r="AJ41" s="301"/>
      <c r="AK41" s="335"/>
      <c r="AL41" s="303"/>
      <c r="AM41" s="259"/>
      <c r="AN41" s="298"/>
      <c r="AO41" s="298"/>
      <c r="AP41" s="299"/>
      <c r="AQ41" s="299"/>
      <c r="AR41" s="299"/>
      <c r="AS41" s="299"/>
      <c r="AT41" s="300"/>
      <c r="AU41" s="300"/>
      <c r="AV41" s="300"/>
      <c r="AW41" s="301"/>
      <c r="AX41" s="335"/>
      <c r="AY41" s="336"/>
    </row>
    <row r="42" spans="1:51" s="330" customFormat="1" ht="15" customHeight="1" x14ac:dyDescent="0.25">
      <c r="A42" s="306"/>
      <c r="B42" s="307" t="s">
        <v>59</v>
      </c>
      <c r="C42" s="307" t="s">
        <v>50</v>
      </c>
      <c r="D42" s="309" t="s">
        <v>67</v>
      </c>
      <c r="E42" s="309" t="s">
        <v>67</v>
      </c>
      <c r="F42" s="308" t="s">
        <v>65</v>
      </c>
      <c r="G42" s="310" t="s">
        <v>715</v>
      </c>
      <c r="H42" s="311"/>
      <c r="I42" s="312"/>
      <c r="J42" s="331" t="s">
        <v>716</v>
      </c>
      <c r="K42" s="314"/>
      <c r="L42" s="315"/>
      <c r="M42" s="316"/>
      <c r="N42" s="316"/>
      <c r="O42" s="316"/>
      <c r="P42" s="316"/>
      <c r="Q42" s="316"/>
      <c r="R42" s="316"/>
      <c r="S42" s="316"/>
      <c r="T42" s="317"/>
      <c r="U42" s="317"/>
      <c r="V42" s="318"/>
      <c r="W42" s="319">
        <f>W43</f>
        <v>900000</v>
      </c>
      <c r="X42" s="320"/>
      <c r="Y42" s="321"/>
      <c r="Z42" s="322"/>
      <c r="AA42" s="323"/>
      <c r="AB42" s="323"/>
      <c r="AC42" s="324"/>
      <c r="AD42" s="324"/>
      <c r="AE42" s="324"/>
      <c r="AF42" s="324"/>
      <c r="AG42" s="325"/>
      <c r="AH42" s="325"/>
      <c r="AI42" s="325"/>
      <c r="AJ42" s="326"/>
      <c r="AK42" s="332"/>
      <c r="AL42" s="328"/>
      <c r="AM42" s="322"/>
      <c r="AN42" s="323"/>
      <c r="AO42" s="323"/>
      <c r="AP42" s="324"/>
      <c r="AQ42" s="324"/>
      <c r="AR42" s="324"/>
      <c r="AS42" s="324"/>
      <c r="AT42" s="325"/>
      <c r="AU42" s="325"/>
      <c r="AV42" s="325"/>
      <c r="AW42" s="326"/>
      <c r="AX42" s="332"/>
      <c r="AY42" s="333"/>
    </row>
    <row r="43" spans="1:51" s="330" customFormat="1" ht="15" customHeight="1" x14ac:dyDescent="0.25">
      <c r="A43" s="306"/>
      <c r="B43" s="307"/>
      <c r="C43" s="307"/>
      <c r="D43" s="308"/>
      <c r="E43" s="308"/>
      <c r="F43" s="308"/>
      <c r="G43" s="307"/>
      <c r="H43" s="311"/>
      <c r="I43" s="312"/>
      <c r="J43" s="331" t="s">
        <v>717</v>
      </c>
      <c r="K43" s="314"/>
      <c r="L43" s="315"/>
      <c r="M43" s="316"/>
      <c r="N43" s="316"/>
      <c r="O43" s="316">
        <v>1</v>
      </c>
      <c r="P43" s="316" t="s">
        <v>656</v>
      </c>
      <c r="Q43" s="316" t="s">
        <v>658</v>
      </c>
      <c r="R43" s="316">
        <v>12</v>
      </c>
      <c r="S43" s="316" t="s">
        <v>155</v>
      </c>
      <c r="T43" s="317">
        <f>R43*O43</f>
        <v>12</v>
      </c>
      <c r="U43" s="317" t="s">
        <v>657</v>
      </c>
      <c r="V43" s="318">
        <v>75000</v>
      </c>
      <c r="W43" s="484">
        <f>V43*T43</f>
        <v>900000</v>
      </c>
      <c r="X43" s="320" t="s">
        <v>649</v>
      </c>
      <c r="Y43" s="321">
        <v>75000</v>
      </c>
      <c r="Z43" s="322">
        <v>75000</v>
      </c>
      <c r="AA43" s="323">
        <v>75000</v>
      </c>
      <c r="AB43" s="323">
        <v>75000</v>
      </c>
      <c r="AC43" s="324">
        <v>75000</v>
      </c>
      <c r="AD43" s="324">
        <v>75000</v>
      </c>
      <c r="AE43" s="324">
        <v>75000</v>
      </c>
      <c r="AF43" s="324">
        <v>75000</v>
      </c>
      <c r="AG43" s="325">
        <v>75000</v>
      </c>
      <c r="AH43" s="325">
        <v>75000</v>
      </c>
      <c r="AI43" s="325">
        <v>75000</v>
      </c>
      <c r="AJ43" s="326">
        <v>75000</v>
      </c>
      <c r="AK43" s="332">
        <f>SUM(Y43:AJ43)</f>
        <v>900000</v>
      </c>
      <c r="AL43" s="328"/>
      <c r="AM43" s="322"/>
      <c r="AN43" s="323"/>
      <c r="AO43" s="323"/>
      <c r="AP43" s="324"/>
      <c r="AQ43" s="324"/>
      <c r="AR43" s="324"/>
      <c r="AS43" s="324"/>
      <c r="AT43" s="325"/>
      <c r="AU43" s="325"/>
      <c r="AV43" s="325"/>
      <c r="AW43" s="326"/>
      <c r="AX43" s="332">
        <f t="shared" ref="AX43" si="1">SUM(AL43:AW43)</f>
        <v>0</v>
      </c>
      <c r="AY43" s="333">
        <f t="shared" ref="AY43" si="2">AK43-AX43</f>
        <v>900000</v>
      </c>
    </row>
    <row r="44" spans="1:51" s="330" customFormat="1" ht="15" customHeight="1" x14ac:dyDescent="0.25">
      <c r="A44" s="306"/>
      <c r="B44" s="307"/>
      <c r="C44" s="307"/>
      <c r="D44" s="308"/>
      <c r="E44" s="308"/>
      <c r="F44" s="308"/>
      <c r="G44" s="307"/>
      <c r="H44" s="311"/>
      <c r="I44" s="312"/>
      <c r="J44" s="331"/>
      <c r="K44" s="314"/>
      <c r="L44" s="315"/>
      <c r="M44" s="316"/>
      <c r="N44" s="316"/>
      <c r="O44" s="316"/>
      <c r="P44" s="316"/>
      <c r="Q44" s="316"/>
      <c r="R44" s="316"/>
      <c r="S44" s="316"/>
      <c r="T44" s="317"/>
      <c r="U44" s="317"/>
      <c r="V44" s="318"/>
      <c r="W44" s="484"/>
      <c r="X44" s="320"/>
      <c r="Y44" s="321"/>
      <c r="Z44" s="322"/>
      <c r="AA44" s="323"/>
      <c r="AB44" s="323"/>
      <c r="AC44" s="324"/>
      <c r="AD44" s="324"/>
      <c r="AE44" s="324"/>
      <c r="AF44" s="324"/>
      <c r="AG44" s="325"/>
      <c r="AH44" s="325"/>
      <c r="AI44" s="325"/>
      <c r="AJ44" s="326"/>
      <c r="AK44" s="332"/>
      <c r="AL44" s="328"/>
      <c r="AM44" s="322"/>
      <c r="AN44" s="323"/>
      <c r="AO44" s="323"/>
      <c r="AP44" s="324"/>
      <c r="AQ44" s="324"/>
      <c r="AR44" s="324"/>
      <c r="AS44" s="324"/>
      <c r="AT44" s="325"/>
      <c r="AU44" s="325"/>
      <c r="AV44" s="325"/>
      <c r="AW44" s="326"/>
      <c r="AX44" s="332"/>
      <c r="AY44" s="333"/>
    </row>
    <row r="45" spans="1:51" s="330" customFormat="1" ht="15" customHeight="1" x14ac:dyDescent="0.25">
      <c r="A45" s="306"/>
      <c r="B45" s="307"/>
      <c r="C45" s="307"/>
      <c r="D45" s="308"/>
      <c r="E45" s="308"/>
      <c r="F45" s="308"/>
      <c r="G45" s="307"/>
      <c r="H45" s="311"/>
      <c r="I45" s="312"/>
      <c r="J45" s="331"/>
      <c r="K45" s="314"/>
      <c r="L45" s="315"/>
      <c r="M45" s="316"/>
      <c r="N45" s="316"/>
      <c r="O45" s="316"/>
      <c r="P45" s="316"/>
      <c r="Q45" s="316"/>
      <c r="R45" s="316"/>
      <c r="S45" s="316"/>
      <c r="T45" s="317"/>
      <c r="U45" s="317"/>
      <c r="V45" s="318"/>
      <c r="W45" s="484">
        <f>SUM(W46:W48)</f>
        <v>6102000</v>
      </c>
      <c r="X45" s="320"/>
      <c r="Y45" s="321"/>
      <c r="Z45" s="322"/>
      <c r="AA45" s="323"/>
      <c r="AB45" s="323"/>
      <c r="AC45" s="324"/>
      <c r="AD45" s="324"/>
      <c r="AE45" s="324"/>
      <c r="AF45" s="324"/>
      <c r="AG45" s="325"/>
      <c r="AH45" s="325"/>
      <c r="AI45" s="325"/>
      <c r="AJ45" s="326"/>
      <c r="AK45" s="332"/>
      <c r="AL45" s="328"/>
      <c r="AM45" s="322"/>
      <c r="AN45" s="323"/>
      <c r="AO45" s="323"/>
      <c r="AP45" s="324"/>
      <c r="AQ45" s="324"/>
      <c r="AR45" s="324"/>
      <c r="AS45" s="324"/>
      <c r="AT45" s="325"/>
      <c r="AU45" s="325"/>
      <c r="AV45" s="325"/>
      <c r="AW45" s="326"/>
      <c r="AX45" s="332"/>
      <c r="AY45" s="333"/>
    </row>
    <row r="46" spans="1:51" s="330" customFormat="1" ht="15" customHeight="1" x14ac:dyDescent="0.25">
      <c r="A46" s="269"/>
      <c r="B46" s="270"/>
      <c r="C46" s="270"/>
      <c r="D46" s="288"/>
      <c r="E46" s="288"/>
      <c r="F46" s="271"/>
      <c r="G46" s="270"/>
      <c r="H46" s="273"/>
      <c r="I46" s="289"/>
      <c r="J46" s="275" t="s">
        <v>882</v>
      </c>
      <c r="K46" s="290"/>
      <c r="L46" s="291"/>
      <c r="M46" s="292"/>
      <c r="N46" s="292"/>
      <c r="O46" s="292">
        <v>3</v>
      </c>
      <c r="P46" s="292" t="s">
        <v>626</v>
      </c>
      <c r="Q46" s="292" t="s">
        <v>658</v>
      </c>
      <c r="R46" s="292"/>
      <c r="S46" s="292"/>
      <c r="T46" s="293">
        <v>1</v>
      </c>
      <c r="U46" s="293">
        <v>3</v>
      </c>
      <c r="V46" s="293">
        <v>450000</v>
      </c>
      <c r="W46" s="295">
        <f>V46*U46</f>
        <v>1350000</v>
      </c>
      <c r="X46" s="320" t="s">
        <v>649</v>
      </c>
      <c r="Y46" s="321"/>
      <c r="Z46" s="322"/>
      <c r="AA46" s="323"/>
      <c r="AB46" s="323"/>
      <c r="AC46" s="324"/>
      <c r="AD46" s="324"/>
      <c r="AE46" s="324"/>
      <c r="AF46" s="324"/>
      <c r="AG46" s="325"/>
      <c r="AH46" s="325"/>
      <c r="AI46" s="325"/>
      <c r="AJ46" s="326"/>
      <c r="AK46" s="332"/>
      <c r="AL46" s="328"/>
      <c r="AM46" s="322"/>
      <c r="AN46" s="323"/>
      <c r="AO46" s="323"/>
      <c r="AP46" s="324"/>
      <c r="AQ46" s="324"/>
      <c r="AR46" s="324"/>
      <c r="AS46" s="324"/>
      <c r="AT46" s="325"/>
      <c r="AU46" s="325"/>
      <c r="AV46" s="325"/>
      <c r="AW46" s="326"/>
      <c r="AX46" s="332"/>
      <c r="AY46" s="333"/>
    </row>
    <row r="47" spans="1:51" s="330" customFormat="1" ht="15" customHeight="1" x14ac:dyDescent="0.25">
      <c r="A47" s="306"/>
      <c r="B47" s="307"/>
      <c r="C47" s="307"/>
      <c r="D47" s="309"/>
      <c r="E47" s="309"/>
      <c r="F47" s="308"/>
      <c r="G47" s="310"/>
      <c r="H47" s="311"/>
      <c r="I47" s="312"/>
      <c r="J47" s="313" t="s">
        <v>883</v>
      </c>
      <c r="K47" s="314"/>
      <c r="L47" s="315"/>
      <c r="M47" s="316"/>
      <c r="N47" s="316"/>
      <c r="O47" s="316">
        <v>20</v>
      </c>
      <c r="P47" s="316" t="s">
        <v>865</v>
      </c>
      <c r="Q47" s="316" t="s">
        <v>658</v>
      </c>
      <c r="R47" s="316"/>
      <c r="S47" s="316"/>
      <c r="T47" s="317">
        <v>1</v>
      </c>
      <c r="U47" s="317">
        <f>O47</f>
        <v>20</v>
      </c>
      <c r="V47" s="318">
        <v>180000</v>
      </c>
      <c r="W47" s="319">
        <f>U47*V47</f>
        <v>3600000</v>
      </c>
      <c r="X47" s="320" t="s">
        <v>649</v>
      </c>
      <c r="Y47" s="321"/>
      <c r="Z47" s="322"/>
      <c r="AA47" s="323"/>
      <c r="AB47" s="323"/>
      <c r="AC47" s="324"/>
      <c r="AD47" s="324"/>
      <c r="AE47" s="324"/>
      <c r="AF47" s="324"/>
      <c r="AG47" s="325"/>
      <c r="AH47" s="325"/>
      <c r="AI47" s="325"/>
      <c r="AJ47" s="326"/>
      <c r="AK47" s="332"/>
      <c r="AL47" s="328"/>
      <c r="AM47" s="322"/>
      <c r="AN47" s="323"/>
      <c r="AO47" s="323"/>
      <c r="AP47" s="324"/>
      <c r="AQ47" s="324"/>
      <c r="AR47" s="324"/>
      <c r="AS47" s="324"/>
      <c r="AT47" s="325"/>
      <c r="AU47" s="325"/>
      <c r="AV47" s="325"/>
      <c r="AW47" s="326"/>
      <c r="AX47" s="332"/>
      <c r="AY47" s="333"/>
    </row>
    <row r="48" spans="1:51" s="330" customFormat="1" ht="15" customHeight="1" x14ac:dyDescent="0.25">
      <c r="A48" s="306"/>
      <c r="B48" s="307"/>
      <c r="C48" s="307"/>
      <c r="D48" s="309"/>
      <c r="E48" s="309"/>
      <c r="F48" s="308"/>
      <c r="G48" s="310"/>
      <c r="H48" s="311"/>
      <c r="I48" s="312"/>
      <c r="J48" s="331" t="s">
        <v>902</v>
      </c>
      <c r="K48" s="314"/>
      <c r="L48" s="315"/>
      <c r="M48" s="316"/>
      <c r="N48" s="316"/>
      <c r="O48" s="316">
        <v>24</v>
      </c>
      <c r="P48" s="316" t="s">
        <v>884</v>
      </c>
      <c r="Q48" s="316"/>
      <c r="R48" s="316"/>
      <c r="S48" s="316"/>
      <c r="T48" s="317"/>
      <c r="U48" s="317">
        <v>24</v>
      </c>
      <c r="V48" s="318">
        <v>48000</v>
      </c>
      <c r="W48" s="319">
        <f>U48*V48</f>
        <v>1152000</v>
      </c>
      <c r="X48" s="320" t="s">
        <v>649</v>
      </c>
      <c r="Y48" s="321"/>
      <c r="Z48" s="322"/>
      <c r="AA48" s="323"/>
      <c r="AB48" s="323"/>
      <c r="AC48" s="324"/>
      <c r="AD48" s="324"/>
      <c r="AE48" s="324"/>
      <c r="AF48" s="324"/>
      <c r="AG48" s="325"/>
      <c r="AH48" s="325"/>
      <c r="AI48" s="325"/>
      <c r="AJ48" s="326"/>
      <c r="AK48" s="332"/>
      <c r="AL48" s="328"/>
      <c r="AM48" s="322"/>
      <c r="AN48" s="323"/>
      <c r="AO48" s="323"/>
      <c r="AP48" s="324"/>
      <c r="AQ48" s="324"/>
      <c r="AR48" s="324"/>
      <c r="AS48" s="324"/>
      <c r="AT48" s="325"/>
      <c r="AU48" s="325"/>
      <c r="AV48" s="325"/>
      <c r="AW48" s="326"/>
      <c r="AX48" s="332"/>
      <c r="AY48" s="333"/>
    </row>
    <row r="49" spans="1:51" s="330" customFormat="1" ht="15" customHeight="1" x14ac:dyDescent="0.25">
      <c r="A49" s="306"/>
      <c r="B49" s="307"/>
      <c r="C49" s="307"/>
      <c r="D49" s="308"/>
      <c r="E49" s="308"/>
      <c r="F49" s="308"/>
      <c r="G49" s="307"/>
      <c r="H49" s="311"/>
      <c r="I49" s="312"/>
      <c r="J49" s="331"/>
      <c r="K49" s="314"/>
      <c r="L49" s="315"/>
      <c r="M49" s="316"/>
      <c r="N49" s="316"/>
      <c r="O49" s="316"/>
      <c r="P49" s="316"/>
      <c r="Q49" s="316"/>
      <c r="R49" s="316"/>
      <c r="S49" s="316"/>
      <c r="T49" s="317"/>
      <c r="U49" s="317"/>
      <c r="V49" s="318"/>
      <c r="W49" s="319"/>
      <c r="X49" s="320"/>
      <c r="Y49" s="321"/>
      <c r="Z49" s="322"/>
      <c r="AA49" s="323"/>
      <c r="AB49" s="323"/>
      <c r="AC49" s="324"/>
      <c r="AD49" s="324"/>
      <c r="AE49" s="324"/>
      <c r="AF49" s="324"/>
      <c r="AG49" s="325"/>
      <c r="AH49" s="325"/>
      <c r="AI49" s="325"/>
      <c r="AJ49" s="326"/>
      <c r="AK49" s="332"/>
      <c r="AL49" s="328"/>
      <c r="AM49" s="322"/>
      <c r="AN49" s="323"/>
      <c r="AO49" s="323"/>
      <c r="AP49" s="324"/>
      <c r="AQ49" s="324"/>
      <c r="AR49" s="324"/>
      <c r="AS49" s="324"/>
      <c r="AT49" s="325"/>
      <c r="AU49" s="325"/>
      <c r="AV49" s="325"/>
      <c r="AW49" s="326"/>
      <c r="AX49" s="332"/>
      <c r="AY49" s="333"/>
    </row>
    <row r="50" spans="1:51" s="345" customFormat="1" ht="15" customHeight="1" thickBot="1" x14ac:dyDescent="0.3">
      <c r="A50" s="306"/>
      <c r="B50" s="307"/>
      <c r="C50" s="307"/>
      <c r="D50" s="308"/>
      <c r="E50" s="308"/>
      <c r="F50" s="308"/>
      <c r="G50" s="307"/>
      <c r="H50" s="311"/>
      <c r="I50" s="347"/>
      <c r="J50" s="313"/>
      <c r="K50" s="284"/>
      <c r="L50" s="285"/>
      <c r="M50" s="286"/>
      <c r="N50" s="286"/>
      <c r="O50" s="286"/>
      <c r="P50" s="286"/>
      <c r="Q50" s="286"/>
      <c r="R50" s="286"/>
      <c r="S50" s="286"/>
      <c r="T50" s="279"/>
      <c r="U50" s="279"/>
      <c r="V50" s="280"/>
      <c r="W50" s="346"/>
      <c r="X50" s="348"/>
      <c r="Y50" s="337"/>
      <c r="Z50" s="338"/>
      <c r="AA50" s="338"/>
      <c r="AB50" s="338"/>
      <c r="AC50" s="339"/>
      <c r="AD50" s="339"/>
      <c r="AE50" s="339"/>
      <c r="AF50" s="339"/>
      <c r="AG50" s="340"/>
      <c r="AH50" s="340"/>
      <c r="AI50" s="340"/>
      <c r="AJ50" s="341"/>
      <c r="AK50" s="343"/>
      <c r="AL50" s="342"/>
      <c r="AM50" s="338"/>
      <c r="AN50" s="338"/>
      <c r="AO50" s="338"/>
      <c r="AP50" s="339"/>
      <c r="AQ50" s="339"/>
      <c r="AR50" s="339"/>
      <c r="AS50" s="339"/>
      <c r="AT50" s="340"/>
      <c r="AU50" s="340"/>
      <c r="AV50" s="340"/>
      <c r="AW50" s="341"/>
      <c r="AX50" s="343"/>
      <c r="AY50" s="344"/>
    </row>
    <row r="51" spans="1:51" s="379" customFormat="1" ht="20.25" customHeight="1" thickBot="1" x14ac:dyDescent="0.3">
      <c r="A51" s="365" t="s">
        <v>157</v>
      </c>
      <c r="B51" s="366"/>
      <c r="C51" s="367"/>
      <c r="D51" s="367"/>
      <c r="E51" s="367"/>
      <c r="F51" s="367"/>
      <c r="G51" s="367"/>
      <c r="H51" s="367"/>
      <c r="I51" s="367"/>
      <c r="J51" s="367"/>
      <c r="K51" s="367"/>
      <c r="L51" s="367"/>
      <c r="M51" s="367"/>
      <c r="N51" s="367"/>
      <c r="O51" s="367"/>
      <c r="P51" s="367"/>
      <c r="Q51" s="367"/>
      <c r="R51" s="367"/>
      <c r="S51" s="367"/>
      <c r="T51" s="367"/>
      <c r="U51" s="367"/>
      <c r="V51" s="368"/>
      <c r="W51" s="369">
        <f>W37</f>
        <v>7002000</v>
      </c>
      <c r="X51" s="370"/>
      <c r="Y51" s="371"/>
      <c r="Z51" s="372"/>
      <c r="AA51" s="372"/>
      <c r="AB51" s="372"/>
      <c r="AC51" s="373"/>
      <c r="AD51" s="373"/>
      <c r="AE51" s="373"/>
      <c r="AF51" s="373"/>
      <c r="AG51" s="374"/>
      <c r="AH51" s="374"/>
      <c r="AI51" s="374"/>
      <c r="AJ51" s="375"/>
      <c r="AK51" s="376">
        <f>SUM(AK36:AK50)</f>
        <v>900000</v>
      </c>
      <c r="AL51" s="377"/>
      <c r="AM51" s="372"/>
      <c r="AN51" s="372"/>
      <c r="AO51" s="372"/>
      <c r="AP51" s="373"/>
      <c r="AQ51" s="373"/>
      <c r="AR51" s="373"/>
      <c r="AS51" s="373"/>
      <c r="AT51" s="374"/>
      <c r="AU51" s="374"/>
      <c r="AV51" s="374"/>
      <c r="AW51" s="375"/>
      <c r="AX51" s="376">
        <f>SUM(AX36:AX50)</f>
        <v>0</v>
      </c>
      <c r="AY51" s="378">
        <f>SUM(AY36:AY50)</f>
        <v>900000</v>
      </c>
    </row>
    <row r="52" spans="1:51" s="268" customFormat="1" ht="15.75" x14ac:dyDescent="0.25">
      <c r="A52" s="219" t="s">
        <v>158</v>
      </c>
      <c r="B52" s="380"/>
      <c r="C52" s="380"/>
      <c r="D52" s="380"/>
      <c r="E52" s="380"/>
      <c r="F52" s="380"/>
      <c r="G52" s="380"/>
      <c r="H52" s="380"/>
      <c r="I52" s="380"/>
      <c r="J52" s="380"/>
      <c r="K52" s="381"/>
      <c r="L52" s="382"/>
      <c r="M52" s="380"/>
      <c r="N52" s="380"/>
      <c r="O52" s="380"/>
      <c r="P52" s="380"/>
      <c r="Q52" s="380"/>
      <c r="R52" s="380"/>
      <c r="S52" s="380"/>
      <c r="T52" s="383"/>
      <c r="U52" s="384"/>
      <c r="V52" s="384"/>
      <c r="W52" s="384"/>
      <c r="X52" s="385"/>
      <c r="Y52" s="386"/>
      <c r="Z52" s="387"/>
      <c r="AA52" s="387"/>
      <c r="AB52" s="387"/>
      <c r="AC52" s="387"/>
      <c r="AD52" s="387"/>
      <c r="AE52" s="387"/>
      <c r="AF52" s="387"/>
      <c r="AG52" s="387"/>
      <c r="AH52" s="387"/>
      <c r="AI52" s="387"/>
      <c r="AJ52" s="387"/>
    </row>
    <row r="53" spans="1:51" s="268" customFormat="1" ht="15.75" x14ac:dyDescent="0.25">
      <c r="A53" s="219" t="s">
        <v>159</v>
      </c>
      <c r="B53" s="220"/>
      <c r="C53" s="380"/>
      <c r="D53" s="660" t="s">
        <v>160</v>
      </c>
      <c r="E53" s="660"/>
      <c r="F53" s="660"/>
      <c r="G53" s="660"/>
      <c r="H53" s="660"/>
      <c r="I53" s="388"/>
      <c r="J53" s="388"/>
      <c r="K53" s="389"/>
      <c r="L53" s="390"/>
      <c r="M53" s="391"/>
      <c r="N53" s="391"/>
      <c r="O53" s="391"/>
      <c r="P53" s="391"/>
      <c r="Q53" s="391"/>
      <c r="R53" s="391"/>
      <c r="S53" s="391"/>
      <c r="T53" s="380"/>
      <c r="U53" s="388"/>
      <c r="V53" s="392" t="s">
        <v>841</v>
      </c>
      <c r="W53" s="393"/>
      <c r="X53" s="394"/>
      <c r="Y53" s="387"/>
      <c r="Z53" s="387"/>
      <c r="AA53" s="387" t="s">
        <v>161</v>
      </c>
      <c r="AB53" s="387"/>
      <c r="AC53" s="387"/>
      <c r="AD53" s="387"/>
      <c r="AE53" s="387"/>
      <c r="AF53" s="387"/>
      <c r="AG53" s="387"/>
      <c r="AH53" s="387"/>
      <c r="AI53" s="387"/>
      <c r="AJ53" s="387"/>
    </row>
    <row r="54" spans="1:51" s="268" customFormat="1" ht="12" customHeight="1" x14ac:dyDescent="0.25">
      <c r="A54" s="219" t="s">
        <v>162</v>
      </c>
      <c r="B54" s="220"/>
      <c r="C54" s="380"/>
      <c r="D54" s="660" t="s">
        <v>160</v>
      </c>
      <c r="E54" s="660"/>
      <c r="F54" s="660"/>
      <c r="G54" s="660"/>
      <c r="H54" s="660"/>
      <c r="I54" s="388"/>
      <c r="J54" s="388"/>
      <c r="K54" s="389"/>
      <c r="L54" s="390"/>
      <c r="M54" s="391"/>
      <c r="N54" s="391"/>
      <c r="O54" s="391"/>
      <c r="P54" s="391"/>
      <c r="Q54" s="391"/>
      <c r="R54" s="391"/>
      <c r="S54" s="391"/>
      <c r="T54" s="380"/>
      <c r="U54" s="384"/>
      <c r="V54" s="395" t="s">
        <v>26</v>
      </c>
      <c r="W54" s="393"/>
      <c r="X54" s="394"/>
      <c r="Y54" s="387"/>
      <c r="Z54" s="387"/>
      <c r="AA54" s="387"/>
      <c r="AB54" s="387"/>
      <c r="AC54" s="387"/>
      <c r="AD54" s="387"/>
      <c r="AE54" s="387"/>
      <c r="AF54" s="387"/>
      <c r="AG54" s="387"/>
      <c r="AH54" s="387"/>
      <c r="AI54" s="387"/>
      <c r="AJ54" s="387"/>
    </row>
    <row r="55" spans="1:51" s="268" customFormat="1" ht="15.75" x14ac:dyDescent="0.25">
      <c r="A55" s="219" t="s">
        <v>163</v>
      </c>
      <c r="B55" s="220"/>
      <c r="C55" s="380"/>
      <c r="D55" s="660" t="s">
        <v>160</v>
      </c>
      <c r="E55" s="660"/>
      <c r="F55" s="660"/>
      <c r="G55" s="660"/>
      <c r="H55" s="660"/>
      <c r="I55" s="388"/>
      <c r="J55" s="388"/>
      <c r="K55" s="389"/>
      <c r="L55" s="390"/>
      <c r="M55" s="391"/>
      <c r="N55" s="391"/>
      <c r="O55" s="391"/>
      <c r="P55" s="391"/>
      <c r="Q55" s="391"/>
      <c r="R55" s="391"/>
      <c r="S55" s="391"/>
      <c r="T55" s="380"/>
      <c r="U55" s="384"/>
      <c r="V55" s="395"/>
      <c r="W55" s="393"/>
      <c r="X55" s="394"/>
      <c r="Y55" s="387"/>
      <c r="Z55" s="387"/>
      <c r="AA55" s="387"/>
      <c r="AB55" s="387"/>
      <c r="AC55" s="387"/>
      <c r="AD55" s="387"/>
      <c r="AE55" s="387"/>
      <c r="AF55" s="387"/>
      <c r="AG55" s="387"/>
      <c r="AH55" s="387"/>
      <c r="AI55" s="387"/>
      <c r="AJ55" s="387"/>
    </row>
    <row r="56" spans="1:51" s="268" customFormat="1" ht="15.75" x14ac:dyDescent="0.25">
      <c r="A56" s="219"/>
      <c r="B56" s="220"/>
      <c r="C56" s="380"/>
      <c r="D56" s="659"/>
      <c r="E56" s="659"/>
      <c r="F56" s="659"/>
      <c r="G56" s="659"/>
      <c r="H56" s="659"/>
      <c r="I56" s="388"/>
      <c r="J56" s="388"/>
      <c r="K56" s="396"/>
      <c r="L56" s="390"/>
      <c r="M56" s="391"/>
      <c r="N56" s="391"/>
      <c r="O56" s="391"/>
      <c r="P56" s="391"/>
      <c r="Q56" s="391"/>
      <c r="R56" s="391"/>
      <c r="S56" s="391"/>
      <c r="T56" s="380"/>
      <c r="U56" s="393"/>
      <c r="V56" s="395"/>
      <c r="W56" s="393"/>
      <c r="X56" s="394"/>
      <c r="Y56" s="387"/>
      <c r="Z56" s="387"/>
      <c r="AA56" s="387"/>
      <c r="AB56" s="387"/>
      <c r="AC56" s="387"/>
      <c r="AD56" s="387"/>
      <c r="AE56" s="387"/>
      <c r="AF56" s="387"/>
      <c r="AG56" s="387"/>
      <c r="AH56" s="387"/>
      <c r="AI56" s="387"/>
      <c r="AJ56" s="387"/>
    </row>
    <row r="57" spans="1:51" s="268" customFormat="1" ht="15.75" x14ac:dyDescent="0.25">
      <c r="A57" s="219" t="s">
        <v>87</v>
      </c>
      <c r="B57" s="220"/>
      <c r="C57" s="380"/>
      <c r="D57" s="660" t="s">
        <v>160</v>
      </c>
      <c r="E57" s="660"/>
      <c r="F57" s="660"/>
      <c r="G57" s="660"/>
      <c r="H57" s="660"/>
      <c r="I57" s="388"/>
      <c r="J57" s="388"/>
      <c r="K57" s="396"/>
      <c r="L57" s="390"/>
      <c r="M57" s="391"/>
      <c r="N57" s="391"/>
      <c r="O57" s="391"/>
      <c r="P57" s="391"/>
      <c r="Q57" s="391"/>
      <c r="R57" s="391"/>
      <c r="S57" s="391"/>
      <c r="T57" s="380"/>
      <c r="U57" s="393"/>
      <c r="V57" s="397"/>
      <c r="W57" s="398"/>
      <c r="X57" s="394"/>
      <c r="Y57" s="387"/>
      <c r="Z57" s="387"/>
      <c r="AA57" s="387"/>
      <c r="AB57" s="387"/>
      <c r="AC57" s="387"/>
      <c r="AD57" s="387"/>
      <c r="AE57" s="387"/>
      <c r="AF57" s="387"/>
      <c r="AG57" s="387"/>
      <c r="AH57" s="387"/>
      <c r="AI57" s="387"/>
      <c r="AJ57" s="387"/>
    </row>
    <row r="58" spans="1:51" s="268" customFormat="1" ht="15.75" x14ac:dyDescent="0.25">
      <c r="A58" s="399"/>
      <c r="B58" s="380"/>
      <c r="C58" s="380"/>
      <c r="D58" s="380"/>
      <c r="E58" s="380"/>
      <c r="F58" s="380"/>
      <c r="G58" s="380"/>
      <c r="H58" s="380"/>
      <c r="I58" s="388"/>
      <c r="J58" s="388"/>
      <c r="K58" s="396"/>
      <c r="L58" s="390"/>
      <c r="M58" s="391"/>
      <c r="N58" s="391"/>
      <c r="O58" s="391"/>
      <c r="P58" s="391"/>
      <c r="Q58" s="391"/>
      <c r="R58" s="391"/>
      <c r="S58" s="391"/>
      <c r="T58" s="380"/>
      <c r="U58" s="223"/>
      <c r="V58" s="400" t="s">
        <v>28</v>
      </c>
      <c r="W58" s="401"/>
      <c r="X58" s="394"/>
      <c r="Y58" s="387"/>
      <c r="Z58" s="387"/>
      <c r="AA58" s="387"/>
      <c r="AB58" s="387"/>
      <c r="AC58" s="387"/>
      <c r="AD58" s="387"/>
      <c r="AE58" s="387"/>
      <c r="AF58" s="387"/>
      <c r="AG58" s="387"/>
      <c r="AH58" s="387"/>
      <c r="AI58" s="387"/>
      <c r="AJ58" s="387"/>
    </row>
    <row r="59" spans="1:51" s="268" customFormat="1" ht="15.75" x14ac:dyDescent="0.25">
      <c r="A59" s="399"/>
      <c r="B59" s="380"/>
      <c r="C59" s="380"/>
      <c r="D59" s="380"/>
      <c r="E59" s="380"/>
      <c r="F59" s="380"/>
      <c r="G59" s="380"/>
      <c r="H59" s="380"/>
      <c r="I59" s="393"/>
      <c r="J59" s="388"/>
      <c r="K59" s="389"/>
      <c r="L59" s="390"/>
      <c r="M59" s="391"/>
      <c r="N59" s="391"/>
      <c r="O59" s="391"/>
      <c r="P59" s="391"/>
      <c r="Q59" s="391"/>
      <c r="R59" s="391"/>
      <c r="S59" s="391"/>
      <c r="T59" s="380"/>
      <c r="U59" s="223"/>
      <c r="V59" s="402" t="s">
        <v>76</v>
      </c>
      <c r="W59" s="393"/>
      <c r="X59" s="394"/>
      <c r="Y59" s="387"/>
      <c r="Z59" s="387"/>
      <c r="AA59" s="387"/>
      <c r="AB59" s="387"/>
      <c r="AC59" s="387"/>
      <c r="AD59" s="387"/>
      <c r="AE59" s="387"/>
      <c r="AF59" s="387"/>
      <c r="AG59" s="387"/>
      <c r="AH59" s="387"/>
      <c r="AI59" s="387"/>
      <c r="AJ59" s="387"/>
    </row>
    <row r="60" spans="1:51" s="268" customFormat="1" ht="11.25" customHeight="1" thickBot="1" x14ac:dyDescent="0.3">
      <c r="A60" s="403"/>
      <c r="B60" s="404"/>
      <c r="C60" s="404"/>
      <c r="D60" s="404"/>
      <c r="E60" s="404"/>
      <c r="F60" s="404"/>
      <c r="G60" s="404"/>
      <c r="H60" s="404"/>
      <c r="I60" s="405"/>
      <c r="J60" s="405"/>
      <c r="K60" s="406"/>
      <c r="L60" s="407"/>
      <c r="M60" s="405"/>
      <c r="N60" s="405"/>
      <c r="O60" s="405"/>
      <c r="P60" s="405"/>
      <c r="Q60" s="405"/>
      <c r="R60" s="405"/>
      <c r="S60" s="405"/>
      <c r="T60" s="408"/>
      <c r="U60" s="409"/>
      <c r="V60" s="410"/>
      <c r="W60" s="410"/>
      <c r="X60" s="411"/>
      <c r="Y60" s="387"/>
      <c r="Z60" s="387"/>
      <c r="AA60" s="387"/>
      <c r="AB60" s="387"/>
      <c r="AC60" s="387"/>
      <c r="AD60" s="387"/>
      <c r="AE60" s="387"/>
      <c r="AF60" s="387"/>
      <c r="AG60" s="387"/>
      <c r="AH60" s="387"/>
      <c r="AI60" s="387"/>
      <c r="AJ60" s="387"/>
    </row>
    <row r="61" spans="1:51" s="199" customFormat="1" ht="15.75" x14ac:dyDescent="0.25">
      <c r="A61" s="412"/>
      <c r="B61" s="412"/>
      <c r="C61" s="412"/>
      <c r="D61" s="412"/>
      <c r="E61" s="412"/>
      <c r="F61" s="412"/>
      <c r="G61" s="412"/>
      <c r="H61" s="412"/>
      <c r="I61" s="413"/>
      <c r="J61" s="413"/>
      <c r="K61" s="413"/>
      <c r="L61" s="414"/>
      <c r="M61" s="412"/>
      <c r="N61" s="412"/>
      <c r="O61" s="412"/>
      <c r="P61" s="412"/>
      <c r="Q61" s="412"/>
      <c r="R61" s="412"/>
      <c r="S61" s="412"/>
      <c r="T61" s="412"/>
      <c r="U61" s="413"/>
      <c r="V61" s="413"/>
      <c r="W61" s="413"/>
      <c r="X61" s="413"/>
      <c r="Y61" s="198"/>
      <c r="Z61" s="198"/>
      <c r="AA61" s="198"/>
      <c r="AB61" s="198"/>
      <c r="AC61" s="198"/>
      <c r="AD61" s="198"/>
      <c r="AE61" s="198"/>
      <c r="AF61" s="198"/>
      <c r="AG61" s="198"/>
      <c r="AH61" s="198"/>
      <c r="AI61" s="198"/>
      <c r="AJ61" s="198"/>
    </row>
    <row r="62" spans="1:51" s="199" customFormat="1" ht="15.75" x14ac:dyDescent="0.25">
      <c r="A62" s="412"/>
      <c r="B62" s="412"/>
      <c r="C62" s="412"/>
      <c r="D62" s="412"/>
      <c r="E62" s="412"/>
      <c r="F62" s="412"/>
      <c r="G62" s="412"/>
      <c r="H62" s="412"/>
      <c r="I62" s="413"/>
      <c r="J62" s="413"/>
      <c r="K62" s="413"/>
      <c r="L62" s="414"/>
      <c r="M62" s="412"/>
      <c r="N62" s="412"/>
      <c r="O62" s="412"/>
      <c r="P62" s="412"/>
      <c r="Q62" s="412"/>
      <c r="R62" s="412"/>
      <c r="S62" s="412"/>
      <c r="T62" s="412"/>
      <c r="U62" s="413"/>
      <c r="V62" s="413"/>
      <c r="W62" s="413"/>
      <c r="X62" s="413"/>
      <c r="Y62" s="198"/>
      <c r="Z62" s="198"/>
      <c r="AA62" s="198"/>
      <c r="AB62" s="198"/>
      <c r="AC62" s="198"/>
      <c r="AD62" s="198"/>
      <c r="AE62" s="198"/>
      <c r="AF62" s="198"/>
      <c r="AG62" s="198"/>
      <c r="AH62" s="198"/>
      <c r="AI62" s="198"/>
      <c r="AJ62" s="198"/>
    </row>
    <row r="63" spans="1:51" s="199" customFormat="1" ht="15.75" x14ac:dyDescent="0.25">
      <c r="A63" s="412"/>
      <c r="B63" s="412"/>
      <c r="C63" s="412"/>
      <c r="D63" s="412"/>
      <c r="E63" s="412"/>
      <c r="F63" s="412"/>
      <c r="G63" s="412"/>
      <c r="H63" s="412"/>
      <c r="I63" s="413"/>
      <c r="J63" s="413"/>
      <c r="K63" s="413"/>
      <c r="L63" s="414"/>
      <c r="M63" s="412"/>
      <c r="N63" s="412"/>
      <c r="O63" s="412"/>
      <c r="P63" s="412"/>
      <c r="Q63" s="412"/>
      <c r="R63" s="412"/>
      <c r="S63" s="412"/>
      <c r="T63" s="412"/>
      <c r="U63" s="413"/>
      <c r="V63" s="413"/>
      <c r="W63" s="413"/>
      <c r="X63" s="413"/>
      <c r="Y63" s="198"/>
      <c r="Z63" s="198"/>
      <c r="AA63" s="198"/>
      <c r="AB63" s="198"/>
      <c r="AC63" s="198"/>
      <c r="AD63" s="198"/>
      <c r="AE63" s="198"/>
      <c r="AF63" s="198"/>
      <c r="AG63" s="198"/>
      <c r="AH63" s="198"/>
      <c r="AI63" s="198"/>
      <c r="AJ63" s="198"/>
    </row>
    <row r="64" spans="1:51" ht="15.75" x14ac:dyDescent="0.25">
      <c r="A64" s="412"/>
      <c r="B64" s="412"/>
      <c r="C64" s="412"/>
      <c r="D64" s="412"/>
      <c r="E64" s="412"/>
      <c r="F64" s="412"/>
      <c r="G64" s="412"/>
      <c r="H64" s="412"/>
      <c r="I64" s="413"/>
      <c r="J64" s="413"/>
      <c r="K64" s="413"/>
      <c r="L64" s="414"/>
      <c r="M64" s="412"/>
      <c r="N64" s="412"/>
      <c r="O64" s="412"/>
      <c r="P64" s="412"/>
      <c r="Q64" s="412"/>
      <c r="R64" s="412"/>
      <c r="S64" s="412"/>
      <c r="T64" s="412"/>
      <c r="U64" s="413"/>
      <c r="V64" s="413"/>
      <c r="W64" s="413"/>
      <c r="X64" s="413"/>
    </row>
  </sheetData>
  <mergeCells count="72">
    <mergeCell ref="D56:H56"/>
    <mergeCell ref="D57:H57"/>
    <mergeCell ref="A36:H36"/>
    <mergeCell ref="I36:K36"/>
    <mergeCell ref="L36:S36"/>
    <mergeCell ref="D53:H53"/>
    <mergeCell ref="D54:H54"/>
    <mergeCell ref="D55:H55"/>
    <mergeCell ref="AI34:AI35"/>
    <mergeCell ref="AW34:AW35"/>
    <mergeCell ref="AL34:AL35"/>
    <mergeCell ref="AM34:AM35"/>
    <mergeCell ref="AN34:AN35"/>
    <mergeCell ref="AO34:AO35"/>
    <mergeCell ref="AP34:AP35"/>
    <mergeCell ref="AQ34:AQ35"/>
    <mergeCell ref="AR34:AR35"/>
    <mergeCell ref="AS34:AS35"/>
    <mergeCell ref="AT34:AT35"/>
    <mergeCell ref="AU34:AU35"/>
    <mergeCell ref="AV34:AV35"/>
    <mergeCell ref="Y31:AJ33"/>
    <mergeCell ref="AK31:AK35"/>
    <mergeCell ref="AL31:AW33"/>
    <mergeCell ref="AX31:AX35"/>
    <mergeCell ref="AY31:AY35"/>
    <mergeCell ref="AJ34:AJ35"/>
    <mergeCell ref="Y34:Y35"/>
    <mergeCell ref="Z34:Z35"/>
    <mergeCell ref="AA34:AA35"/>
    <mergeCell ref="AB34:AB35"/>
    <mergeCell ref="AC34:AC35"/>
    <mergeCell ref="AD34:AD35"/>
    <mergeCell ref="AE34:AE35"/>
    <mergeCell ref="AF34:AF35"/>
    <mergeCell ref="AG34:AG35"/>
    <mergeCell ref="AH34:AH35"/>
    <mergeCell ref="A24:I24"/>
    <mergeCell ref="A28:I28"/>
    <mergeCell ref="A29:X29"/>
    <mergeCell ref="A30:X30"/>
    <mergeCell ref="A31:H35"/>
    <mergeCell ref="I31:K35"/>
    <mergeCell ref="L31:V32"/>
    <mergeCell ref="W31:W33"/>
    <mergeCell ref="X31:X35"/>
    <mergeCell ref="L33:S35"/>
    <mergeCell ref="T33:T35"/>
    <mergeCell ref="U33:U35"/>
    <mergeCell ref="V33:V35"/>
    <mergeCell ref="W34:W35"/>
    <mergeCell ref="V23:X23"/>
    <mergeCell ref="A14:I14"/>
    <mergeCell ref="J14:U14"/>
    <mergeCell ref="V14:X14"/>
    <mergeCell ref="A15:I15"/>
    <mergeCell ref="A16:I19"/>
    <mergeCell ref="V16:X16"/>
    <mergeCell ref="V17:X17"/>
    <mergeCell ref="V18:X18"/>
    <mergeCell ref="V19:X19"/>
    <mergeCell ref="A20:I20"/>
    <mergeCell ref="V20:X20"/>
    <mergeCell ref="V21:X21"/>
    <mergeCell ref="K22:U22"/>
    <mergeCell ref="V22:X22"/>
    <mergeCell ref="A13:X13"/>
    <mergeCell ref="V3:X3"/>
    <mergeCell ref="A5:X5"/>
    <mergeCell ref="A6:X6"/>
    <mergeCell ref="A7:I7"/>
    <mergeCell ref="A9:I9"/>
  </mergeCells>
  <pageMargins left="0.85" right="0" top="1" bottom="1.5" header="0.42" footer="0.31"/>
  <pageSetup paperSize="124" scale="57" orientation="portrait" r:id="rId1"/>
  <headerFooter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6C3D2-B537-423C-B578-FD57EFC202A2}">
  <dimension ref="A1:AY62"/>
  <sheetViews>
    <sheetView showGridLines="0" topLeftCell="A28" zoomScale="80" zoomScaleNormal="80" zoomScaleSheetLayoutView="70" zoomScalePageLayoutView="40" workbookViewId="0">
      <selection activeCell="W49" sqref="W49"/>
    </sheetView>
  </sheetViews>
  <sheetFormatPr defaultColWidth="9.140625" defaultRowHeight="12.75" x14ac:dyDescent="0.2"/>
  <cols>
    <col min="1" max="6" width="3.7109375" style="415" customWidth="1"/>
    <col min="7" max="7" width="5.85546875" style="415" bestFit="1" customWidth="1"/>
    <col min="8" max="8" width="3.7109375" style="415" customWidth="1"/>
    <col min="9" max="9" width="2" style="176" customWidth="1"/>
    <col min="10" max="10" width="3.140625" style="176" customWidth="1"/>
    <col min="11" max="11" width="37.140625" style="176" customWidth="1"/>
    <col min="12" max="12" width="4.140625" style="416" customWidth="1"/>
    <col min="13" max="15" width="4" style="415" customWidth="1"/>
    <col min="16" max="16" width="6.5703125" style="415" bestFit="1" customWidth="1"/>
    <col min="17" max="17" width="3.7109375" style="415" customWidth="1"/>
    <col min="18" max="18" width="7.140625" style="415" customWidth="1"/>
    <col min="19" max="19" width="6.7109375" style="415" bestFit="1" customWidth="1"/>
    <col min="20" max="20" width="8.5703125" style="415" customWidth="1"/>
    <col min="21" max="21" width="9.28515625" style="176" customWidth="1"/>
    <col min="22" max="22" width="12.140625" style="176" customWidth="1"/>
    <col min="23" max="23" width="13.7109375" style="176" customWidth="1"/>
    <col min="24" max="24" width="9.5703125" style="176" customWidth="1"/>
    <col min="25" max="25" width="10.28515625" style="175" bestFit="1" customWidth="1"/>
    <col min="26" max="26" width="8" style="175" customWidth="1"/>
    <col min="27" max="29" width="9.28515625" style="175" bestFit="1" customWidth="1"/>
    <col min="30" max="30" width="9.85546875" style="175" customWidth="1"/>
    <col min="31" max="31" width="9.28515625" style="175" bestFit="1" customWidth="1"/>
    <col min="32" max="34" width="8" style="175" customWidth="1"/>
    <col min="35" max="35" width="9.28515625" style="175" bestFit="1" customWidth="1"/>
    <col min="36" max="36" width="8" style="175" customWidth="1"/>
    <col min="37" max="37" width="11.140625" style="176" customWidth="1"/>
    <col min="38" max="50" width="9.140625" style="176"/>
    <col min="51" max="51" width="10.28515625" style="176" bestFit="1" customWidth="1"/>
    <col min="52" max="16384" width="9.140625" style="176"/>
  </cols>
  <sheetData>
    <row r="1" spans="1:36" ht="14.25" customHeight="1" x14ac:dyDescent="0.2">
      <c r="A1" s="169"/>
      <c r="B1" s="170"/>
      <c r="C1" s="170"/>
      <c r="D1" s="170"/>
      <c r="E1" s="170"/>
      <c r="F1" s="170"/>
      <c r="G1" s="170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2"/>
      <c r="U1" s="171"/>
      <c r="V1" s="173"/>
      <c r="W1" s="171"/>
      <c r="X1" s="174"/>
    </row>
    <row r="2" spans="1:36" ht="18.75" customHeight="1" x14ac:dyDescent="0.4">
      <c r="A2" s="177"/>
      <c r="B2" s="178"/>
      <c r="C2" s="178"/>
      <c r="D2" s="178"/>
      <c r="E2" s="178"/>
      <c r="F2" s="178"/>
      <c r="G2" s="178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80"/>
      <c r="U2" s="179"/>
      <c r="V2" s="181"/>
      <c r="W2" s="179"/>
      <c r="X2" s="182"/>
    </row>
    <row r="3" spans="1:36" ht="24.75" customHeight="1" x14ac:dyDescent="0.2">
      <c r="A3" s="183"/>
      <c r="B3" s="184"/>
      <c r="C3" s="184"/>
      <c r="D3" s="184"/>
      <c r="E3" s="184"/>
      <c r="F3" s="184"/>
      <c r="G3" s="184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6"/>
      <c r="U3" s="185"/>
      <c r="V3" s="562" t="s">
        <v>21</v>
      </c>
      <c r="W3" s="563"/>
      <c r="X3" s="564"/>
    </row>
    <row r="4" spans="1:36" ht="32.25" customHeight="1" thickBot="1" x14ac:dyDescent="0.25">
      <c r="A4" s="187"/>
      <c r="B4" s="188"/>
      <c r="C4" s="188"/>
      <c r="D4" s="188"/>
      <c r="E4" s="188"/>
      <c r="F4" s="188"/>
      <c r="G4" s="188"/>
      <c r="H4" s="189"/>
      <c r="I4" s="189"/>
      <c r="J4" s="189"/>
      <c r="K4" s="190"/>
      <c r="L4" s="189"/>
      <c r="M4" s="189"/>
      <c r="N4" s="189"/>
      <c r="O4" s="189"/>
      <c r="P4" s="189"/>
      <c r="Q4" s="189"/>
      <c r="R4" s="189"/>
      <c r="S4" s="189"/>
      <c r="T4" s="190"/>
      <c r="U4" s="189"/>
      <c r="V4" s="191"/>
      <c r="W4" s="192">
        <v>1</v>
      </c>
      <c r="X4" s="193"/>
    </row>
    <row r="5" spans="1:36" ht="21" customHeight="1" x14ac:dyDescent="0.2">
      <c r="A5" s="565" t="s">
        <v>1</v>
      </c>
      <c r="B5" s="566"/>
      <c r="C5" s="566"/>
      <c r="D5" s="566"/>
      <c r="E5" s="566"/>
      <c r="F5" s="566"/>
      <c r="G5" s="566"/>
      <c r="H5" s="566"/>
      <c r="I5" s="566"/>
      <c r="J5" s="566"/>
      <c r="K5" s="566"/>
      <c r="L5" s="566"/>
      <c r="M5" s="566"/>
      <c r="N5" s="566"/>
      <c r="O5" s="566"/>
      <c r="P5" s="566"/>
      <c r="Q5" s="566"/>
      <c r="R5" s="566"/>
      <c r="S5" s="566"/>
      <c r="T5" s="566"/>
      <c r="U5" s="566"/>
      <c r="V5" s="566"/>
      <c r="W5" s="566"/>
      <c r="X5" s="567"/>
    </row>
    <row r="6" spans="1:36" ht="21" customHeight="1" x14ac:dyDescent="0.2">
      <c r="A6" s="568" t="s">
        <v>836</v>
      </c>
      <c r="B6" s="569"/>
      <c r="C6" s="569"/>
      <c r="D6" s="569"/>
      <c r="E6" s="569"/>
      <c r="F6" s="569"/>
      <c r="G6" s="569"/>
      <c r="H6" s="569"/>
      <c r="I6" s="569"/>
      <c r="J6" s="569"/>
      <c r="K6" s="569"/>
      <c r="L6" s="569"/>
      <c r="M6" s="569"/>
      <c r="N6" s="569"/>
      <c r="O6" s="569"/>
      <c r="P6" s="569"/>
      <c r="Q6" s="569"/>
      <c r="R6" s="569"/>
      <c r="S6" s="569"/>
      <c r="T6" s="569"/>
      <c r="U6" s="569"/>
      <c r="V6" s="569"/>
      <c r="W6" s="569"/>
      <c r="X6" s="570"/>
    </row>
    <row r="7" spans="1:36" s="199" customFormat="1" ht="15" customHeight="1" x14ac:dyDescent="0.25">
      <c r="A7" s="571" t="s">
        <v>45</v>
      </c>
      <c r="B7" s="572"/>
      <c r="C7" s="572"/>
      <c r="D7" s="572"/>
      <c r="E7" s="572"/>
      <c r="F7" s="572"/>
      <c r="G7" s="572"/>
      <c r="H7" s="572"/>
      <c r="I7" s="572"/>
      <c r="J7" s="195" t="s">
        <v>113</v>
      </c>
      <c r="K7" s="196" t="s">
        <v>114</v>
      </c>
      <c r="L7" s="196"/>
      <c r="M7" s="196"/>
      <c r="N7" s="196"/>
      <c r="O7" s="196"/>
      <c r="P7" s="196"/>
      <c r="Q7" s="196"/>
      <c r="R7" s="196"/>
      <c r="S7" s="196"/>
      <c r="T7" s="196"/>
      <c r="U7" s="196"/>
      <c r="V7" s="196"/>
      <c r="W7" s="196"/>
      <c r="X7" s="197"/>
      <c r="Y7" s="198"/>
      <c r="Z7" s="198"/>
      <c r="AA7" s="198"/>
      <c r="AB7" s="198"/>
      <c r="AC7" s="198"/>
      <c r="AD7" s="198"/>
      <c r="AE7" s="198"/>
      <c r="AF7" s="198"/>
      <c r="AG7" s="198"/>
      <c r="AH7" s="198"/>
      <c r="AI7" s="198"/>
      <c r="AJ7" s="198"/>
    </row>
    <row r="8" spans="1:36" s="199" customFormat="1" ht="15" customHeight="1" x14ac:dyDescent="0.25">
      <c r="A8" s="194" t="s">
        <v>115</v>
      </c>
      <c r="B8" s="195"/>
      <c r="C8" s="195"/>
      <c r="D8" s="195"/>
      <c r="E8" s="195"/>
      <c r="F8" s="195"/>
      <c r="G8" s="195"/>
      <c r="H8" s="195"/>
      <c r="I8" s="195"/>
      <c r="J8" s="195" t="s">
        <v>113</v>
      </c>
      <c r="K8" s="200" t="s">
        <v>632</v>
      </c>
      <c r="L8" s="200"/>
      <c r="T8" s="200"/>
      <c r="U8" s="200"/>
      <c r="V8" s="200"/>
      <c r="W8" s="200"/>
      <c r="X8" s="201"/>
      <c r="Y8" s="198"/>
      <c r="Z8" s="198"/>
      <c r="AA8" s="198"/>
      <c r="AB8" s="198"/>
      <c r="AC8" s="198"/>
      <c r="AD8" s="198"/>
      <c r="AE8" s="198"/>
      <c r="AF8" s="198"/>
      <c r="AG8" s="198"/>
      <c r="AH8" s="198"/>
      <c r="AI8" s="198"/>
      <c r="AJ8" s="198"/>
    </row>
    <row r="9" spans="1:36" s="199" customFormat="1" ht="15" customHeight="1" x14ac:dyDescent="0.25">
      <c r="A9" s="573" t="s">
        <v>116</v>
      </c>
      <c r="B9" s="574"/>
      <c r="C9" s="574"/>
      <c r="D9" s="574"/>
      <c r="E9" s="574"/>
      <c r="F9" s="574"/>
      <c r="G9" s="574"/>
      <c r="H9" s="574"/>
      <c r="I9" s="574"/>
      <c r="J9" s="203" t="s">
        <v>113</v>
      </c>
      <c r="K9" s="204" t="s">
        <v>719</v>
      </c>
      <c r="L9" s="196"/>
      <c r="M9" s="204"/>
      <c r="N9" s="204"/>
      <c r="O9" s="204"/>
      <c r="P9" s="204"/>
      <c r="Q9" s="204"/>
      <c r="R9" s="204"/>
      <c r="S9" s="204"/>
      <c r="T9" s="196"/>
      <c r="U9" s="196"/>
      <c r="V9" s="196"/>
      <c r="W9" s="196"/>
      <c r="X9" s="197"/>
      <c r="Y9" s="198"/>
      <c r="Z9" s="198"/>
      <c r="AA9" s="198"/>
      <c r="AB9" s="198"/>
      <c r="AC9" s="198"/>
      <c r="AD9" s="198"/>
      <c r="AE9" s="198"/>
      <c r="AF9" s="198"/>
      <c r="AG9" s="198"/>
      <c r="AH9" s="198"/>
      <c r="AI9" s="198"/>
      <c r="AJ9" s="198"/>
    </row>
    <row r="10" spans="1:36" s="199" customFormat="1" ht="14.25" customHeight="1" x14ac:dyDescent="0.25">
      <c r="A10" s="202" t="s">
        <v>117</v>
      </c>
      <c r="B10" s="203"/>
      <c r="C10" s="205"/>
      <c r="D10" s="205"/>
      <c r="E10" s="205"/>
      <c r="F10" s="205"/>
      <c r="G10" s="205"/>
      <c r="H10" s="205"/>
      <c r="I10" s="203"/>
      <c r="J10" s="195" t="s">
        <v>113</v>
      </c>
      <c r="K10" s="206" t="s">
        <v>727</v>
      </c>
      <c r="L10" s="196"/>
      <c r="M10" s="196"/>
      <c r="N10" s="196"/>
      <c r="O10" s="196"/>
      <c r="P10" s="196"/>
      <c r="Q10" s="196"/>
      <c r="R10" s="196"/>
      <c r="S10" s="196"/>
      <c r="T10" s="207"/>
      <c r="U10" s="196"/>
      <c r="V10" s="196"/>
      <c r="W10" s="196"/>
      <c r="X10" s="197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</row>
    <row r="11" spans="1:36" s="199" customFormat="1" ht="14.25" customHeight="1" x14ac:dyDescent="0.25">
      <c r="A11" s="208" t="s">
        <v>118</v>
      </c>
      <c r="B11" s="209"/>
      <c r="C11" s="210"/>
      <c r="D11" s="210"/>
      <c r="E11" s="210"/>
      <c r="F11" s="210"/>
      <c r="G11" s="210"/>
      <c r="H11" s="210"/>
      <c r="I11" s="209"/>
      <c r="J11" s="195" t="s">
        <v>119</v>
      </c>
      <c r="K11" s="206" t="s">
        <v>114</v>
      </c>
      <c r="L11" s="211"/>
      <c r="M11" s="211"/>
      <c r="N11" s="211"/>
      <c r="O11" s="211"/>
      <c r="P11" s="211"/>
      <c r="Q11" s="211"/>
      <c r="R11" s="211"/>
      <c r="S11" s="211"/>
      <c r="T11" s="212"/>
      <c r="U11" s="211"/>
      <c r="V11" s="211"/>
      <c r="W11" s="211"/>
      <c r="X11" s="213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</row>
    <row r="12" spans="1:36" s="199" customFormat="1" ht="15.75" x14ac:dyDescent="0.25">
      <c r="A12" s="208" t="s">
        <v>120</v>
      </c>
      <c r="B12" s="209"/>
      <c r="C12" s="210"/>
      <c r="D12" s="210"/>
      <c r="E12" s="210"/>
      <c r="F12" s="210"/>
      <c r="G12" s="210"/>
      <c r="H12" s="210"/>
      <c r="I12" s="209"/>
      <c r="J12" s="195" t="s">
        <v>113</v>
      </c>
      <c r="K12" s="214" t="s">
        <v>810</v>
      </c>
      <c r="L12" s="211"/>
      <c r="M12" s="211"/>
      <c r="N12" s="211"/>
      <c r="O12" s="211"/>
      <c r="P12" s="211"/>
      <c r="Q12" s="211"/>
      <c r="R12" s="211"/>
      <c r="S12" s="211"/>
      <c r="T12" s="212"/>
      <c r="U12" s="211"/>
      <c r="V12" s="211"/>
      <c r="W12" s="211"/>
      <c r="X12" s="213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</row>
    <row r="13" spans="1:36" s="199" customFormat="1" ht="18" customHeight="1" x14ac:dyDescent="0.25">
      <c r="A13" s="559" t="s">
        <v>121</v>
      </c>
      <c r="B13" s="560"/>
      <c r="C13" s="560"/>
      <c r="D13" s="560"/>
      <c r="E13" s="560"/>
      <c r="F13" s="560"/>
      <c r="G13" s="560"/>
      <c r="H13" s="560"/>
      <c r="I13" s="560"/>
      <c r="J13" s="560"/>
      <c r="K13" s="560"/>
      <c r="L13" s="560"/>
      <c r="M13" s="560"/>
      <c r="N13" s="560"/>
      <c r="O13" s="560"/>
      <c r="P13" s="560"/>
      <c r="Q13" s="560"/>
      <c r="R13" s="560"/>
      <c r="S13" s="560"/>
      <c r="T13" s="560"/>
      <c r="U13" s="560"/>
      <c r="V13" s="560"/>
      <c r="W13" s="560"/>
      <c r="X13" s="561"/>
    </row>
    <row r="14" spans="1:36" s="199" customFormat="1" ht="15.75" x14ac:dyDescent="0.25">
      <c r="A14" s="578" t="s">
        <v>122</v>
      </c>
      <c r="B14" s="579"/>
      <c r="C14" s="579"/>
      <c r="D14" s="579"/>
      <c r="E14" s="579"/>
      <c r="F14" s="579"/>
      <c r="G14" s="579"/>
      <c r="H14" s="579"/>
      <c r="I14" s="580"/>
      <c r="J14" s="581" t="s">
        <v>123</v>
      </c>
      <c r="K14" s="579"/>
      <c r="L14" s="579"/>
      <c r="M14" s="579"/>
      <c r="N14" s="579"/>
      <c r="O14" s="579"/>
      <c r="P14" s="579"/>
      <c r="Q14" s="579"/>
      <c r="R14" s="579"/>
      <c r="S14" s="579"/>
      <c r="T14" s="579"/>
      <c r="U14" s="579"/>
      <c r="V14" s="581" t="s">
        <v>124</v>
      </c>
      <c r="W14" s="579"/>
      <c r="X14" s="582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</row>
    <row r="15" spans="1:36" s="199" customFormat="1" ht="17.25" customHeight="1" x14ac:dyDescent="0.25">
      <c r="A15" s="573" t="s">
        <v>125</v>
      </c>
      <c r="B15" s="574"/>
      <c r="C15" s="574"/>
      <c r="D15" s="574"/>
      <c r="E15" s="574"/>
      <c r="F15" s="574"/>
      <c r="G15" s="574"/>
      <c r="H15" s="574"/>
      <c r="I15" s="583"/>
      <c r="J15" s="203" t="s">
        <v>119</v>
      </c>
      <c r="K15" s="200"/>
      <c r="L15" s="196"/>
      <c r="M15" s="196"/>
      <c r="N15" s="196"/>
      <c r="O15" s="196"/>
      <c r="P15" s="196"/>
      <c r="Q15" s="196"/>
      <c r="R15" s="196"/>
      <c r="S15" s="196"/>
      <c r="T15" s="207"/>
      <c r="U15" s="196"/>
      <c r="V15" s="215"/>
      <c r="W15" s="196"/>
      <c r="X15" s="197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</row>
    <row r="16" spans="1:36" s="199" customFormat="1" ht="15.75" customHeight="1" x14ac:dyDescent="0.25">
      <c r="A16" s="571" t="s">
        <v>126</v>
      </c>
      <c r="B16" s="572"/>
      <c r="C16" s="572"/>
      <c r="D16" s="572"/>
      <c r="E16" s="572"/>
      <c r="F16" s="572"/>
      <c r="G16" s="572"/>
      <c r="H16" s="572"/>
      <c r="I16" s="584"/>
      <c r="J16" s="216" t="s">
        <v>119</v>
      </c>
      <c r="K16" s="217" t="s">
        <v>127</v>
      </c>
      <c r="L16" s="217"/>
      <c r="M16" s="217"/>
      <c r="N16" s="217"/>
      <c r="O16" s="217"/>
      <c r="P16" s="217"/>
      <c r="Q16" s="217"/>
      <c r="R16" s="217"/>
      <c r="S16" s="217"/>
      <c r="T16" s="218"/>
      <c r="U16" s="217"/>
      <c r="V16" s="591"/>
      <c r="W16" s="592"/>
      <c r="X16" s="593"/>
      <c r="Y16" s="198"/>
      <c r="Z16" s="198"/>
      <c r="AA16" s="198"/>
      <c r="AB16" s="198"/>
      <c r="AC16" s="198"/>
      <c r="AD16" s="198"/>
      <c r="AE16" s="198"/>
      <c r="AF16" s="198"/>
      <c r="AG16" s="198"/>
      <c r="AH16" s="198"/>
      <c r="AI16" s="198"/>
      <c r="AJ16" s="198"/>
    </row>
    <row r="17" spans="1:51" s="199" customFormat="1" ht="15.75" customHeight="1" x14ac:dyDescent="0.25">
      <c r="A17" s="585"/>
      <c r="B17" s="586"/>
      <c r="C17" s="586"/>
      <c r="D17" s="586"/>
      <c r="E17" s="586"/>
      <c r="F17" s="586"/>
      <c r="G17" s="586"/>
      <c r="H17" s="586"/>
      <c r="I17" s="587"/>
      <c r="J17" s="222" t="s">
        <v>119</v>
      </c>
      <c r="K17" s="223" t="s">
        <v>128</v>
      </c>
      <c r="L17" s="223"/>
      <c r="M17" s="223"/>
      <c r="N17" s="223"/>
      <c r="O17" s="223"/>
      <c r="P17" s="223"/>
      <c r="Q17" s="223"/>
      <c r="R17" s="223"/>
      <c r="S17" s="223"/>
      <c r="T17" s="224"/>
      <c r="U17" s="223"/>
      <c r="V17" s="594"/>
      <c r="W17" s="595"/>
      <c r="X17" s="596"/>
      <c r="Y17" s="198"/>
      <c r="Z17" s="198"/>
      <c r="AA17" s="198"/>
      <c r="AB17" s="198"/>
      <c r="AC17" s="198"/>
      <c r="AD17" s="198"/>
      <c r="AE17" s="198"/>
      <c r="AF17" s="198"/>
      <c r="AG17" s="198"/>
      <c r="AH17" s="198"/>
      <c r="AI17" s="198"/>
      <c r="AJ17" s="198"/>
    </row>
    <row r="18" spans="1:51" s="199" customFormat="1" ht="13.5" customHeight="1" x14ac:dyDescent="0.25">
      <c r="A18" s="585"/>
      <c r="B18" s="586"/>
      <c r="C18" s="586"/>
      <c r="D18" s="586"/>
      <c r="E18" s="586"/>
      <c r="F18" s="586"/>
      <c r="G18" s="586"/>
      <c r="H18" s="586"/>
      <c r="I18" s="587"/>
      <c r="J18" s="222" t="s">
        <v>119</v>
      </c>
      <c r="K18" s="223" t="s">
        <v>129</v>
      </c>
      <c r="L18" s="223"/>
      <c r="M18" s="223"/>
      <c r="N18" s="223"/>
      <c r="O18" s="223"/>
      <c r="P18" s="223"/>
      <c r="Q18" s="223"/>
      <c r="R18" s="223"/>
      <c r="S18" s="223"/>
      <c r="T18" s="224"/>
      <c r="U18" s="223"/>
      <c r="V18" s="594"/>
      <c r="W18" s="595"/>
      <c r="X18" s="596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</row>
    <row r="19" spans="1:51" s="199" customFormat="1" ht="15.75" customHeight="1" x14ac:dyDescent="0.25">
      <c r="A19" s="588"/>
      <c r="B19" s="589"/>
      <c r="C19" s="589"/>
      <c r="D19" s="589"/>
      <c r="E19" s="589"/>
      <c r="F19" s="589"/>
      <c r="G19" s="589"/>
      <c r="H19" s="589"/>
      <c r="I19" s="590"/>
      <c r="J19" s="226" t="s">
        <v>119</v>
      </c>
      <c r="K19" s="211" t="s">
        <v>130</v>
      </c>
      <c r="L19" s="211"/>
      <c r="M19" s="211"/>
      <c r="N19" s="211"/>
      <c r="O19" s="211"/>
      <c r="P19" s="211"/>
      <c r="Q19" s="211"/>
      <c r="R19" s="211"/>
      <c r="S19" s="211"/>
      <c r="T19" s="212"/>
      <c r="U19" s="211"/>
      <c r="V19" s="597"/>
      <c r="W19" s="598"/>
      <c r="X19" s="599"/>
      <c r="Y19" s="198"/>
      <c r="Z19" s="198"/>
      <c r="AA19" s="198"/>
      <c r="AB19" s="198"/>
      <c r="AC19" s="198"/>
      <c r="AD19" s="198"/>
      <c r="AE19" s="198"/>
      <c r="AF19" s="198"/>
      <c r="AG19" s="198"/>
      <c r="AH19" s="198"/>
      <c r="AI19" s="198"/>
      <c r="AJ19" s="198"/>
    </row>
    <row r="20" spans="1:51" s="199" customFormat="1" ht="15.75" customHeight="1" x14ac:dyDescent="0.25">
      <c r="A20" s="585" t="s">
        <v>131</v>
      </c>
      <c r="B20" s="586"/>
      <c r="C20" s="586"/>
      <c r="D20" s="586"/>
      <c r="E20" s="586"/>
      <c r="F20" s="586"/>
      <c r="G20" s="586"/>
      <c r="H20" s="586"/>
      <c r="I20" s="587"/>
      <c r="J20" s="220" t="s">
        <v>119</v>
      </c>
      <c r="K20" s="200" t="s">
        <v>720</v>
      </c>
      <c r="L20" s="196"/>
      <c r="M20" s="196"/>
      <c r="N20" s="196"/>
      <c r="O20" s="196"/>
      <c r="P20" s="196"/>
      <c r="Q20" s="196"/>
      <c r="R20" s="196"/>
      <c r="S20" s="196"/>
      <c r="T20" s="207"/>
      <c r="U20" s="196"/>
      <c r="V20" s="575"/>
      <c r="W20" s="576"/>
      <c r="X20" s="577"/>
      <c r="Y20" s="198"/>
      <c r="Z20" s="198"/>
      <c r="AA20" s="198"/>
      <c r="AB20" s="198"/>
      <c r="AC20" s="198"/>
      <c r="AD20" s="198"/>
      <c r="AE20" s="198"/>
      <c r="AF20" s="198"/>
      <c r="AG20" s="198"/>
      <c r="AH20" s="198"/>
      <c r="AI20" s="198"/>
      <c r="AJ20" s="198"/>
    </row>
    <row r="21" spans="1:51" s="199" customFormat="1" ht="15.75" customHeight="1" x14ac:dyDescent="0.25">
      <c r="A21" s="219"/>
      <c r="B21" s="220"/>
      <c r="C21" s="220"/>
      <c r="D21" s="220"/>
      <c r="E21" s="220"/>
      <c r="F21" s="220"/>
      <c r="G21" s="220"/>
      <c r="H21" s="220"/>
      <c r="I21" s="221"/>
      <c r="J21" s="229"/>
      <c r="K21" s="200" t="s">
        <v>721</v>
      </c>
      <c r="L21" s="196"/>
      <c r="M21" s="196"/>
      <c r="N21" s="196"/>
      <c r="O21" s="196"/>
      <c r="P21" s="196"/>
      <c r="Q21" s="196"/>
      <c r="R21" s="196"/>
      <c r="S21" s="196"/>
      <c r="T21" s="207"/>
      <c r="U21" s="196"/>
      <c r="V21" s="575"/>
      <c r="W21" s="576"/>
      <c r="X21" s="577"/>
      <c r="Y21" s="198"/>
      <c r="Z21" s="198"/>
      <c r="AA21" s="198"/>
      <c r="AB21" s="198"/>
      <c r="AC21" s="198"/>
      <c r="AD21" s="198"/>
      <c r="AE21" s="198"/>
      <c r="AF21" s="198"/>
      <c r="AG21" s="198"/>
      <c r="AH21" s="198"/>
      <c r="AI21" s="198"/>
      <c r="AJ21" s="198"/>
    </row>
    <row r="22" spans="1:51" s="199" customFormat="1" ht="15.75" x14ac:dyDescent="0.25">
      <c r="A22" s="219"/>
      <c r="B22" s="220"/>
      <c r="C22" s="220"/>
      <c r="D22" s="220"/>
      <c r="E22" s="220"/>
      <c r="F22" s="220"/>
      <c r="G22" s="220"/>
      <c r="H22" s="220"/>
      <c r="I22" s="221"/>
      <c r="J22" s="229"/>
      <c r="K22" s="600"/>
      <c r="L22" s="600"/>
      <c r="M22" s="600"/>
      <c r="N22" s="600"/>
      <c r="O22" s="600"/>
      <c r="P22" s="600"/>
      <c r="Q22" s="600"/>
      <c r="R22" s="600"/>
      <c r="S22" s="600"/>
      <c r="T22" s="600"/>
      <c r="U22" s="601"/>
      <c r="V22" s="575"/>
      <c r="W22" s="576"/>
      <c r="X22" s="577"/>
      <c r="Y22" s="198"/>
      <c r="Z22" s="198"/>
      <c r="AA22" s="198"/>
      <c r="AB22" s="198"/>
      <c r="AC22" s="198"/>
      <c r="AD22" s="198"/>
      <c r="AE22" s="198"/>
      <c r="AF22" s="198"/>
      <c r="AG22" s="198"/>
      <c r="AH22" s="198"/>
      <c r="AI22" s="198"/>
      <c r="AJ22" s="198"/>
    </row>
    <row r="23" spans="1:51" s="199" customFormat="1" ht="15.75" customHeight="1" x14ac:dyDescent="0.25">
      <c r="A23" s="219"/>
      <c r="B23" s="220"/>
      <c r="C23" s="220"/>
      <c r="D23" s="220"/>
      <c r="E23" s="220"/>
      <c r="F23" s="220"/>
      <c r="G23" s="220"/>
      <c r="H23" s="220"/>
      <c r="I23" s="221"/>
      <c r="J23" s="229"/>
      <c r="K23" s="204"/>
      <c r="L23" s="211"/>
      <c r="M23" s="211"/>
      <c r="N23" s="211"/>
      <c r="O23" s="211"/>
      <c r="P23" s="211"/>
      <c r="Q23" s="211"/>
      <c r="R23" s="211"/>
      <c r="S23" s="211"/>
      <c r="T23" s="212"/>
      <c r="U23" s="211"/>
      <c r="V23" s="575"/>
      <c r="W23" s="576"/>
      <c r="X23" s="577"/>
      <c r="Y23" s="198"/>
      <c r="Z23" s="198"/>
      <c r="AA23" s="198"/>
      <c r="AB23" s="198"/>
      <c r="AC23" s="198"/>
      <c r="AD23" s="198"/>
      <c r="AE23" s="198"/>
      <c r="AF23" s="198"/>
      <c r="AG23" s="198"/>
      <c r="AH23" s="198"/>
      <c r="AI23" s="198"/>
      <c r="AJ23" s="198"/>
    </row>
    <row r="24" spans="1:51" s="199" customFormat="1" ht="16.5" customHeight="1" x14ac:dyDescent="0.25">
      <c r="A24" s="573" t="s">
        <v>132</v>
      </c>
      <c r="B24" s="574"/>
      <c r="C24" s="574"/>
      <c r="D24" s="574"/>
      <c r="E24" s="574"/>
      <c r="F24" s="574"/>
      <c r="G24" s="574"/>
      <c r="H24" s="574"/>
      <c r="I24" s="583"/>
      <c r="J24" s="203" t="s">
        <v>119</v>
      </c>
      <c r="K24" s="200"/>
      <c r="L24" s="196"/>
      <c r="M24" s="196"/>
      <c r="N24" s="196"/>
      <c r="O24" s="196"/>
      <c r="P24" s="196"/>
      <c r="Q24" s="196"/>
      <c r="R24" s="196"/>
      <c r="S24" s="196"/>
      <c r="T24" s="207"/>
      <c r="U24" s="196"/>
      <c r="V24" s="230"/>
      <c r="W24" s="196"/>
      <c r="X24" s="197"/>
      <c r="Y24" s="198"/>
      <c r="Z24" s="198"/>
      <c r="AA24" s="198"/>
      <c r="AB24" s="198"/>
      <c r="AC24" s="198"/>
      <c r="AD24" s="198"/>
      <c r="AE24" s="198"/>
      <c r="AF24" s="198"/>
      <c r="AG24" s="198"/>
      <c r="AH24" s="198"/>
      <c r="AI24" s="198"/>
      <c r="AJ24" s="198"/>
    </row>
    <row r="25" spans="1:51" s="199" customFormat="1" ht="16.5" customHeight="1" x14ac:dyDescent="0.25">
      <c r="A25" s="208"/>
      <c r="B25" s="209"/>
      <c r="C25" s="209"/>
      <c r="D25" s="209"/>
      <c r="E25" s="209"/>
      <c r="F25" s="209"/>
      <c r="G25" s="209"/>
      <c r="H25" s="209"/>
      <c r="I25" s="225"/>
      <c r="J25" s="209"/>
      <c r="K25" s="200"/>
      <c r="L25" s="211"/>
      <c r="M25" s="211"/>
      <c r="N25" s="211"/>
      <c r="O25" s="211"/>
      <c r="P25" s="211"/>
      <c r="Q25" s="211"/>
      <c r="R25" s="211"/>
      <c r="S25" s="211"/>
      <c r="T25" s="212"/>
      <c r="U25" s="211"/>
      <c r="V25" s="230"/>
      <c r="W25" s="211"/>
      <c r="X25" s="213"/>
      <c r="Y25" s="198"/>
      <c r="Z25" s="198"/>
      <c r="AA25" s="198"/>
      <c r="AB25" s="198"/>
      <c r="AC25" s="198"/>
      <c r="AD25" s="198"/>
      <c r="AE25" s="198"/>
      <c r="AF25" s="198"/>
      <c r="AG25" s="198"/>
      <c r="AH25" s="198"/>
      <c r="AI25" s="198"/>
      <c r="AJ25" s="198"/>
    </row>
    <row r="26" spans="1:51" s="199" customFormat="1" ht="16.5" customHeight="1" x14ac:dyDescent="0.25">
      <c r="A26" s="208"/>
      <c r="B26" s="209"/>
      <c r="C26" s="209"/>
      <c r="D26" s="209"/>
      <c r="E26" s="209"/>
      <c r="F26" s="209"/>
      <c r="G26" s="209"/>
      <c r="H26" s="209"/>
      <c r="I26" s="225"/>
      <c r="J26" s="209"/>
      <c r="K26" s="200"/>
      <c r="L26" s="211"/>
      <c r="M26" s="211"/>
      <c r="N26" s="211"/>
      <c r="O26" s="211"/>
      <c r="P26" s="211"/>
      <c r="Q26" s="211"/>
      <c r="R26" s="211"/>
      <c r="S26" s="211"/>
      <c r="T26" s="212"/>
      <c r="U26" s="211"/>
      <c r="V26" s="230"/>
      <c r="W26" s="211"/>
      <c r="X26" s="213"/>
      <c r="Y26" s="198"/>
      <c r="Z26" s="198"/>
      <c r="AA26" s="198"/>
      <c r="AB26" s="198"/>
      <c r="AC26" s="198"/>
      <c r="AD26" s="198"/>
      <c r="AE26" s="198"/>
      <c r="AF26" s="198"/>
      <c r="AG26" s="198"/>
      <c r="AH26" s="198"/>
      <c r="AI26" s="198"/>
      <c r="AJ26" s="198"/>
    </row>
    <row r="27" spans="1:51" s="199" customFormat="1" ht="16.5" customHeight="1" x14ac:dyDescent="0.25">
      <c r="A27" s="208"/>
      <c r="B27" s="209"/>
      <c r="C27" s="209"/>
      <c r="D27" s="209"/>
      <c r="E27" s="209"/>
      <c r="F27" s="209"/>
      <c r="G27" s="209"/>
      <c r="H27" s="209"/>
      <c r="I27" s="225"/>
      <c r="J27" s="209"/>
      <c r="K27" s="200"/>
      <c r="L27" s="211"/>
      <c r="M27" s="211"/>
      <c r="N27" s="211"/>
      <c r="O27" s="211"/>
      <c r="P27" s="211"/>
      <c r="Q27" s="211"/>
      <c r="R27" s="211"/>
      <c r="S27" s="211"/>
      <c r="T27" s="212"/>
      <c r="U27" s="211"/>
      <c r="V27" s="231"/>
      <c r="W27" s="211"/>
      <c r="X27" s="213"/>
      <c r="Y27" s="198"/>
      <c r="Z27" s="198"/>
      <c r="AA27" s="198"/>
      <c r="AB27" s="198"/>
      <c r="AC27" s="198"/>
      <c r="AD27" s="198"/>
      <c r="AE27" s="198"/>
      <c r="AF27" s="198"/>
      <c r="AG27" s="198"/>
      <c r="AH27" s="198"/>
      <c r="AI27" s="198"/>
      <c r="AJ27" s="198"/>
    </row>
    <row r="28" spans="1:51" s="199" customFormat="1" ht="18.75" customHeight="1" x14ac:dyDescent="0.25">
      <c r="A28" s="602" t="s">
        <v>133</v>
      </c>
      <c r="B28" s="603"/>
      <c r="C28" s="603"/>
      <c r="D28" s="603"/>
      <c r="E28" s="603"/>
      <c r="F28" s="603"/>
      <c r="G28" s="603"/>
      <c r="H28" s="603"/>
      <c r="I28" s="604"/>
      <c r="J28" s="209" t="s">
        <v>119</v>
      </c>
      <c r="K28" s="200"/>
      <c r="L28" s="211"/>
      <c r="M28" s="211"/>
      <c r="N28" s="211"/>
      <c r="O28" s="211"/>
      <c r="P28" s="211"/>
      <c r="Q28" s="211"/>
      <c r="R28" s="211"/>
      <c r="S28" s="211"/>
      <c r="T28" s="212"/>
      <c r="U28" s="211"/>
      <c r="V28" s="200"/>
      <c r="W28" s="232"/>
      <c r="X28" s="233"/>
      <c r="Y28" s="198"/>
      <c r="Z28" s="198"/>
      <c r="AA28" s="198"/>
      <c r="AB28" s="198"/>
      <c r="AC28" s="198"/>
      <c r="AD28" s="198"/>
      <c r="AE28" s="198"/>
      <c r="AF28" s="198"/>
      <c r="AG28" s="198"/>
      <c r="AH28" s="198"/>
      <c r="AI28" s="198"/>
      <c r="AJ28" s="198"/>
    </row>
    <row r="29" spans="1:51" s="199" customFormat="1" ht="15.75" x14ac:dyDescent="0.25">
      <c r="A29" s="605" t="s">
        <v>134</v>
      </c>
      <c r="B29" s="606"/>
      <c r="C29" s="606"/>
      <c r="D29" s="606"/>
      <c r="E29" s="606"/>
      <c r="F29" s="606"/>
      <c r="G29" s="606"/>
      <c r="H29" s="606"/>
      <c r="I29" s="606"/>
      <c r="J29" s="606"/>
      <c r="K29" s="606"/>
      <c r="L29" s="606"/>
      <c r="M29" s="606"/>
      <c r="N29" s="606"/>
      <c r="O29" s="606"/>
      <c r="P29" s="606"/>
      <c r="Q29" s="606"/>
      <c r="R29" s="606"/>
      <c r="S29" s="606"/>
      <c r="T29" s="606"/>
      <c r="U29" s="606"/>
      <c r="V29" s="606"/>
      <c r="W29" s="606"/>
      <c r="X29" s="607"/>
    </row>
    <row r="30" spans="1:51" s="199" customFormat="1" ht="16.5" thickBot="1" x14ac:dyDescent="0.3">
      <c r="A30" s="608" t="s">
        <v>135</v>
      </c>
      <c r="B30" s="609"/>
      <c r="C30" s="609"/>
      <c r="D30" s="609"/>
      <c r="E30" s="609"/>
      <c r="F30" s="609"/>
      <c r="G30" s="609"/>
      <c r="H30" s="609"/>
      <c r="I30" s="609"/>
      <c r="J30" s="609"/>
      <c r="K30" s="609"/>
      <c r="L30" s="609"/>
      <c r="M30" s="609"/>
      <c r="N30" s="609"/>
      <c r="O30" s="609"/>
      <c r="P30" s="609"/>
      <c r="Q30" s="609"/>
      <c r="R30" s="609"/>
      <c r="S30" s="609"/>
      <c r="T30" s="609"/>
      <c r="U30" s="609"/>
      <c r="V30" s="609"/>
      <c r="W30" s="609"/>
      <c r="X30" s="610"/>
    </row>
    <row r="31" spans="1:51" s="199" customFormat="1" ht="10.5" customHeight="1" x14ac:dyDescent="0.25">
      <c r="A31" s="611" t="s">
        <v>136</v>
      </c>
      <c r="B31" s="612"/>
      <c r="C31" s="612"/>
      <c r="D31" s="612"/>
      <c r="E31" s="612"/>
      <c r="F31" s="612"/>
      <c r="G31" s="612"/>
      <c r="H31" s="613"/>
      <c r="I31" s="620" t="s">
        <v>137</v>
      </c>
      <c r="J31" s="612"/>
      <c r="K31" s="613"/>
      <c r="L31" s="620" t="s">
        <v>138</v>
      </c>
      <c r="M31" s="612"/>
      <c r="N31" s="612"/>
      <c r="O31" s="612"/>
      <c r="P31" s="612"/>
      <c r="Q31" s="612"/>
      <c r="R31" s="612"/>
      <c r="S31" s="612"/>
      <c r="T31" s="612"/>
      <c r="U31" s="612"/>
      <c r="V31" s="613"/>
      <c r="W31" s="623" t="s">
        <v>139</v>
      </c>
      <c r="X31" s="625" t="s">
        <v>140</v>
      </c>
      <c r="Y31" s="636" t="s">
        <v>567</v>
      </c>
      <c r="Z31" s="636"/>
      <c r="AA31" s="636"/>
      <c r="AB31" s="636"/>
      <c r="AC31" s="636"/>
      <c r="AD31" s="636"/>
      <c r="AE31" s="636"/>
      <c r="AF31" s="636"/>
      <c r="AG31" s="636"/>
      <c r="AH31" s="636"/>
      <c r="AI31" s="636"/>
      <c r="AJ31" s="637"/>
      <c r="AK31" s="642" t="s">
        <v>139</v>
      </c>
      <c r="AL31" s="645" t="s">
        <v>568</v>
      </c>
      <c r="AM31" s="636"/>
      <c r="AN31" s="636"/>
      <c r="AO31" s="636"/>
      <c r="AP31" s="636"/>
      <c r="AQ31" s="636"/>
      <c r="AR31" s="636"/>
      <c r="AS31" s="636"/>
      <c r="AT31" s="636"/>
      <c r="AU31" s="636"/>
      <c r="AV31" s="636"/>
      <c r="AW31" s="637"/>
      <c r="AX31" s="642" t="s">
        <v>139</v>
      </c>
      <c r="AY31" s="648" t="s">
        <v>141</v>
      </c>
    </row>
    <row r="32" spans="1:51" s="199" customFormat="1" ht="6.75" customHeight="1" x14ac:dyDescent="0.25">
      <c r="A32" s="614"/>
      <c r="B32" s="615"/>
      <c r="C32" s="615"/>
      <c r="D32" s="615"/>
      <c r="E32" s="615"/>
      <c r="F32" s="615"/>
      <c r="G32" s="615"/>
      <c r="H32" s="616"/>
      <c r="I32" s="621"/>
      <c r="J32" s="615"/>
      <c r="K32" s="616"/>
      <c r="L32" s="621"/>
      <c r="M32" s="615"/>
      <c r="N32" s="615"/>
      <c r="O32" s="615"/>
      <c r="P32" s="615"/>
      <c r="Q32" s="615"/>
      <c r="R32" s="615"/>
      <c r="S32" s="615"/>
      <c r="T32" s="615"/>
      <c r="U32" s="615"/>
      <c r="V32" s="616"/>
      <c r="W32" s="624"/>
      <c r="X32" s="626"/>
      <c r="Y32" s="638"/>
      <c r="Z32" s="638"/>
      <c r="AA32" s="638"/>
      <c r="AB32" s="638"/>
      <c r="AC32" s="638"/>
      <c r="AD32" s="638"/>
      <c r="AE32" s="638"/>
      <c r="AF32" s="638"/>
      <c r="AG32" s="638"/>
      <c r="AH32" s="638"/>
      <c r="AI32" s="638"/>
      <c r="AJ32" s="639"/>
      <c r="AK32" s="643"/>
      <c r="AL32" s="646"/>
      <c r="AM32" s="638"/>
      <c r="AN32" s="638"/>
      <c r="AO32" s="638"/>
      <c r="AP32" s="638"/>
      <c r="AQ32" s="638"/>
      <c r="AR32" s="638"/>
      <c r="AS32" s="638"/>
      <c r="AT32" s="638"/>
      <c r="AU32" s="638"/>
      <c r="AV32" s="638"/>
      <c r="AW32" s="639"/>
      <c r="AX32" s="643"/>
      <c r="AY32" s="649"/>
    </row>
    <row r="33" spans="1:51" s="199" customFormat="1" ht="10.5" customHeight="1" thickBot="1" x14ac:dyDescent="0.3">
      <c r="A33" s="614"/>
      <c r="B33" s="615"/>
      <c r="C33" s="615"/>
      <c r="D33" s="615"/>
      <c r="E33" s="615"/>
      <c r="F33" s="615"/>
      <c r="G33" s="615"/>
      <c r="H33" s="616"/>
      <c r="I33" s="621"/>
      <c r="J33" s="615"/>
      <c r="K33" s="616"/>
      <c r="L33" s="628" t="s">
        <v>79</v>
      </c>
      <c r="M33" s="629"/>
      <c r="N33" s="629"/>
      <c r="O33" s="629"/>
      <c r="P33" s="629"/>
      <c r="Q33" s="629"/>
      <c r="R33" s="629"/>
      <c r="S33" s="630"/>
      <c r="T33" s="631" t="s">
        <v>80</v>
      </c>
      <c r="U33" s="631" t="s">
        <v>81</v>
      </c>
      <c r="V33" s="631" t="s">
        <v>82</v>
      </c>
      <c r="W33" s="624"/>
      <c r="X33" s="626"/>
      <c r="Y33" s="640"/>
      <c r="Z33" s="640"/>
      <c r="AA33" s="640"/>
      <c r="AB33" s="640"/>
      <c r="AC33" s="640"/>
      <c r="AD33" s="640"/>
      <c r="AE33" s="640"/>
      <c r="AF33" s="640"/>
      <c r="AG33" s="640"/>
      <c r="AH33" s="640"/>
      <c r="AI33" s="640"/>
      <c r="AJ33" s="641"/>
      <c r="AK33" s="643"/>
      <c r="AL33" s="647"/>
      <c r="AM33" s="640"/>
      <c r="AN33" s="640"/>
      <c r="AO33" s="640"/>
      <c r="AP33" s="640"/>
      <c r="AQ33" s="640"/>
      <c r="AR33" s="640"/>
      <c r="AS33" s="640"/>
      <c r="AT33" s="640"/>
      <c r="AU33" s="640"/>
      <c r="AV33" s="640"/>
      <c r="AW33" s="641"/>
      <c r="AX33" s="643"/>
      <c r="AY33" s="649"/>
    </row>
    <row r="34" spans="1:51" s="199" customFormat="1" ht="8.25" customHeight="1" thickBot="1" x14ac:dyDescent="0.3">
      <c r="A34" s="614"/>
      <c r="B34" s="615"/>
      <c r="C34" s="615"/>
      <c r="D34" s="615"/>
      <c r="E34" s="615"/>
      <c r="F34" s="615"/>
      <c r="G34" s="615"/>
      <c r="H34" s="616"/>
      <c r="I34" s="621"/>
      <c r="J34" s="615"/>
      <c r="K34" s="616"/>
      <c r="L34" s="621"/>
      <c r="M34" s="615"/>
      <c r="N34" s="615"/>
      <c r="O34" s="615"/>
      <c r="P34" s="615"/>
      <c r="Q34" s="615"/>
      <c r="R34" s="615"/>
      <c r="S34" s="616"/>
      <c r="T34" s="632"/>
      <c r="U34" s="632"/>
      <c r="V34" s="632"/>
      <c r="W34" s="634" t="s">
        <v>142</v>
      </c>
      <c r="X34" s="626"/>
      <c r="Y34" s="653" t="s">
        <v>50</v>
      </c>
      <c r="Z34" s="655" t="s">
        <v>53</v>
      </c>
      <c r="AA34" s="655" t="s">
        <v>55</v>
      </c>
      <c r="AB34" s="655" t="s">
        <v>57</v>
      </c>
      <c r="AC34" s="657" t="s">
        <v>59</v>
      </c>
      <c r="AD34" s="657" t="s">
        <v>61</v>
      </c>
      <c r="AE34" s="657" t="s">
        <v>101</v>
      </c>
      <c r="AF34" s="657" t="s">
        <v>107</v>
      </c>
      <c r="AG34" s="651" t="s">
        <v>143</v>
      </c>
      <c r="AH34" s="651" t="s">
        <v>144</v>
      </c>
      <c r="AI34" s="651" t="s">
        <v>145</v>
      </c>
      <c r="AJ34" s="651" t="s">
        <v>146</v>
      </c>
      <c r="AK34" s="643"/>
      <c r="AL34" s="655" t="s">
        <v>50</v>
      </c>
      <c r="AM34" s="655" t="s">
        <v>53</v>
      </c>
      <c r="AN34" s="655" t="s">
        <v>55</v>
      </c>
      <c r="AO34" s="655" t="s">
        <v>57</v>
      </c>
      <c r="AP34" s="657" t="s">
        <v>59</v>
      </c>
      <c r="AQ34" s="657" t="s">
        <v>61</v>
      </c>
      <c r="AR34" s="657" t="s">
        <v>101</v>
      </c>
      <c r="AS34" s="657" t="s">
        <v>107</v>
      </c>
      <c r="AT34" s="651" t="s">
        <v>143</v>
      </c>
      <c r="AU34" s="651" t="s">
        <v>144</v>
      </c>
      <c r="AV34" s="651" t="s">
        <v>145</v>
      </c>
      <c r="AW34" s="651" t="s">
        <v>146</v>
      </c>
      <c r="AX34" s="643"/>
      <c r="AY34" s="649"/>
    </row>
    <row r="35" spans="1:51" s="199" customFormat="1" ht="12.75" customHeight="1" thickBot="1" x14ac:dyDescent="0.3">
      <c r="A35" s="617"/>
      <c r="B35" s="618"/>
      <c r="C35" s="618"/>
      <c r="D35" s="618"/>
      <c r="E35" s="618"/>
      <c r="F35" s="618"/>
      <c r="G35" s="618"/>
      <c r="H35" s="619"/>
      <c r="I35" s="622"/>
      <c r="J35" s="618"/>
      <c r="K35" s="619"/>
      <c r="L35" s="622"/>
      <c r="M35" s="618"/>
      <c r="N35" s="618"/>
      <c r="O35" s="618"/>
      <c r="P35" s="618"/>
      <c r="Q35" s="618"/>
      <c r="R35" s="618"/>
      <c r="S35" s="619"/>
      <c r="T35" s="633"/>
      <c r="U35" s="633"/>
      <c r="V35" s="633"/>
      <c r="W35" s="635"/>
      <c r="X35" s="627"/>
      <c r="Y35" s="654"/>
      <c r="Z35" s="656"/>
      <c r="AA35" s="656"/>
      <c r="AB35" s="656"/>
      <c r="AC35" s="658"/>
      <c r="AD35" s="658"/>
      <c r="AE35" s="658"/>
      <c r="AF35" s="658"/>
      <c r="AG35" s="652"/>
      <c r="AH35" s="652"/>
      <c r="AI35" s="652"/>
      <c r="AJ35" s="652"/>
      <c r="AK35" s="644"/>
      <c r="AL35" s="656"/>
      <c r="AM35" s="656"/>
      <c r="AN35" s="656"/>
      <c r="AO35" s="656"/>
      <c r="AP35" s="658"/>
      <c r="AQ35" s="658"/>
      <c r="AR35" s="658"/>
      <c r="AS35" s="658"/>
      <c r="AT35" s="652"/>
      <c r="AU35" s="652"/>
      <c r="AV35" s="652"/>
      <c r="AW35" s="652"/>
      <c r="AX35" s="644"/>
      <c r="AY35" s="650"/>
    </row>
    <row r="36" spans="1:51" s="199" customFormat="1" ht="15.75" x14ac:dyDescent="0.25">
      <c r="A36" s="661">
        <v>1</v>
      </c>
      <c r="B36" s="662"/>
      <c r="C36" s="662"/>
      <c r="D36" s="662"/>
      <c r="E36" s="662"/>
      <c r="F36" s="662"/>
      <c r="G36" s="662"/>
      <c r="H36" s="663"/>
      <c r="I36" s="664">
        <v>2</v>
      </c>
      <c r="J36" s="665"/>
      <c r="K36" s="666"/>
      <c r="L36" s="664">
        <v>3</v>
      </c>
      <c r="M36" s="665"/>
      <c r="N36" s="665"/>
      <c r="O36" s="665"/>
      <c r="P36" s="665"/>
      <c r="Q36" s="665"/>
      <c r="R36" s="665"/>
      <c r="S36" s="665"/>
      <c r="T36" s="234">
        <v>4</v>
      </c>
      <c r="U36" s="235">
        <v>5</v>
      </c>
      <c r="V36" s="236">
        <v>6</v>
      </c>
      <c r="W36" s="237" t="s">
        <v>147</v>
      </c>
      <c r="X36" s="237">
        <v>8</v>
      </c>
      <c r="Y36" s="238"/>
      <c r="Z36" s="239"/>
      <c r="AA36" s="239"/>
      <c r="AB36" s="239"/>
      <c r="AC36" s="240"/>
      <c r="AD36" s="240"/>
      <c r="AE36" s="240"/>
      <c r="AF36" s="240"/>
      <c r="AG36" s="241"/>
      <c r="AH36" s="241"/>
      <c r="AI36" s="241"/>
      <c r="AJ36" s="242"/>
      <c r="AK36" s="243"/>
      <c r="AL36" s="244"/>
      <c r="AM36" s="239"/>
      <c r="AN36" s="239"/>
      <c r="AO36" s="239"/>
      <c r="AP36" s="240"/>
      <c r="AQ36" s="240"/>
      <c r="AR36" s="240"/>
      <c r="AS36" s="240"/>
      <c r="AT36" s="241"/>
      <c r="AU36" s="241"/>
      <c r="AV36" s="241"/>
      <c r="AW36" s="242"/>
      <c r="AX36" s="243"/>
      <c r="AY36" s="245"/>
    </row>
    <row r="37" spans="1:51" s="268" customFormat="1" ht="15" customHeight="1" x14ac:dyDescent="0.25">
      <c r="A37" s="246"/>
      <c r="B37" s="247" t="s">
        <v>59</v>
      </c>
      <c r="C37" s="247"/>
      <c r="D37" s="247"/>
      <c r="E37" s="247"/>
      <c r="F37" s="247"/>
      <c r="G37" s="247"/>
      <c r="H37" s="248"/>
      <c r="I37" s="249"/>
      <c r="J37" s="250" t="s">
        <v>148</v>
      </c>
      <c r="K37" s="251"/>
      <c r="L37" s="252"/>
      <c r="M37" s="253"/>
      <c r="N37" s="253"/>
      <c r="O37" s="253"/>
      <c r="P37" s="253"/>
      <c r="Q37" s="253"/>
      <c r="R37" s="253"/>
      <c r="S37" s="253"/>
      <c r="T37" s="254"/>
      <c r="U37" s="254"/>
      <c r="V37" s="255"/>
      <c r="W37" s="256">
        <f t="shared" ref="W37:W38" si="0">W38</f>
        <v>11490000</v>
      </c>
      <c r="X37" s="257"/>
      <c r="Y37" s="258"/>
      <c r="Z37" s="259"/>
      <c r="AA37" s="260"/>
      <c r="AB37" s="261"/>
      <c r="AC37" s="262"/>
      <c r="AD37" s="262"/>
      <c r="AE37" s="262"/>
      <c r="AF37" s="262"/>
      <c r="AG37" s="263"/>
      <c r="AH37" s="263"/>
      <c r="AI37" s="263"/>
      <c r="AJ37" s="264"/>
      <c r="AK37" s="265"/>
      <c r="AL37" s="266"/>
      <c r="AM37" s="259"/>
      <c r="AN37" s="260"/>
      <c r="AO37" s="261"/>
      <c r="AP37" s="262"/>
      <c r="AQ37" s="262"/>
      <c r="AR37" s="262"/>
      <c r="AS37" s="262"/>
      <c r="AT37" s="263"/>
      <c r="AU37" s="263"/>
      <c r="AV37" s="263"/>
      <c r="AW37" s="264"/>
      <c r="AX37" s="265"/>
      <c r="AY37" s="267"/>
    </row>
    <row r="38" spans="1:51" s="268" customFormat="1" ht="15" customHeight="1" x14ac:dyDescent="0.25">
      <c r="A38" s="269"/>
      <c r="B38" s="270" t="s">
        <v>59</v>
      </c>
      <c r="C38" s="334" t="s">
        <v>50</v>
      </c>
      <c r="D38" s="271"/>
      <c r="E38" s="271"/>
      <c r="F38" s="272"/>
      <c r="G38" s="270"/>
      <c r="H38" s="273"/>
      <c r="I38" s="274"/>
      <c r="J38" s="275" t="s">
        <v>149</v>
      </c>
      <c r="K38" s="276"/>
      <c r="L38" s="277"/>
      <c r="M38" s="278"/>
      <c r="N38" s="278"/>
      <c r="O38" s="278"/>
      <c r="P38" s="278"/>
      <c r="Q38" s="278"/>
      <c r="R38" s="278"/>
      <c r="S38" s="278"/>
      <c r="T38" s="279"/>
      <c r="U38" s="279"/>
      <c r="V38" s="280"/>
      <c r="W38" s="281">
        <f t="shared" si="0"/>
        <v>11490000</v>
      </c>
      <c r="X38" s="257"/>
      <c r="Y38" s="258"/>
      <c r="Z38" s="259"/>
      <c r="AA38" s="261"/>
      <c r="AB38" s="261"/>
      <c r="AC38" s="262"/>
      <c r="AD38" s="262"/>
      <c r="AE38" s="262"/>
      <c r="AF38" s="262"/>
      <c r="AG38" s="263"/>
      <c r="AH38" s="263"/>
      <c r="AI38" s="263"/>
      <c r="AJ38" s="264"/>
      <c r="AK38" s="265"/>
      <c r="AL38" s="266"/>
      <c r="AM38" s="259"/>
      <c r="AN38" s="261"/>
      <c r="AO38" s="261"/>
      <c r="AP38" s="262"/>
      <c r="AQ38" s="262"/>
      <c r="AR38" s="262"/>
      <c r="AS38" s="262"/>
      <c r="AT38" s="263"/>
      <c r="AU38" s="263"/>
      <c r="AV38" s="263"/>
      <c r="AW38" s="264"/>
      <c r="AX38" s="265"/>
      <c r="AY38" s="267"/>
    </row>
    <row r="39" spans="1:51" s="268" customFormat="1" ht="15" customHeight="1" x14ac:dyDescent="0.25">
      <c r="A39" s="269"/>
      <c r="B39" s="270" t="s">
        <v>59</v>
      </c>
      <c r="C39" s="334" t="s">
        <v>50</v>
      </c>
      <c r="D39" s="288" t="s">
        <v>67</v>
      </c>
      <c r="E39" s="271"/>
      <c r="F39" s="271"/>
      <c r="G39" s="270"/>
      <c r="H39" s="273"/>
      <c r="I39" s="282"/>
      <c r="J39" s="283" t="s">
        <v>150</v>
      </c>
      <c r="K39" s="284"/>
      <c r="L39" s="285"/>
      <c r="M39" s="286"/>
      <c r="N39" s="286"/>
      <c r="O39" s="286"/>
      <c r="P39" s="286"/>
      <c r="Q39" s="286"/>
      <c r="R39" s="286"/>
      <c r="S39" s="286"/>
      <c r="T39" s="279"/>
      <c r="U39" s="279"/>
      <c r="V39" s="280"/>
      <c r="W39" s="281">
        <f>W40</f>
        <v>11490000</v>
      </c>
      <c r="X39" s="287"/>
      <c r="Y39" s="258"/>
      <c r="Z39" s="259"/>
      <c r="AA39" s="261"/>
      <c r="AB39" s="261"/>
      <c r="AC39" s="262"/>
      <c r="AD39" s="262"/>
      <c r="AE39" s="262"/>
      <c r="AF39" s="262"/>
      <c r="AG39" s="263"/>
      <c r="AH39" s="263"/>
      <c r="AI39" s="263"/>
      <c r="AJ39" s="264"/>
      <c r="AK39" s="265"/>
      <c r="AL39" s="266"/>
      <c r="AM39" s="259"/>
      <c r="AN39" s="261"/>
      <c r="AO39" s="261"/>
      <c r="AP39" s="262"/>
      <c r="AQ39" s="262"/>
      <c r="AR39" s="262"/>
      <c r="AS39" s="262"/>
      <c r="AT39" s="263"/>
      <c r="AU39" s="263"/>
      <c r="AV39" s="263"/>
      <c r="AW39" s="264"/>
      <c r="AX39" s="265"/>
      <c r="AY39" s="267"/>
    </row>
    <row r="40" spans="1:51" s="305" customFormat="1" ht="15" customHeight="1" x14ac:dyDescent="0.25">
      <c r="A40" s="269"/>
      <c r="B40" s="270" t="s">
        <v>59</v>
      </c>
      <c r="C40" s="270" t="s">
        <v>50</v>
      </c>
      <c r="D40" s="288" t="s">
        <v>67</v>
      </c>
      <c r="E40" s="288" t="s">
        <v>65</v>
      </c>
      <c r="F40" s="271"/>
      <c r="G40" s="270"/>
      <c r="H40" s="273"/>
      <c r="I40" s="289"/>
      <c r="J40" s="275" t="s">
        <v>151</v>
      </c>
      <c r="K40" s="290"/>
      <c r="L40" s="291"/>
      <c r="M40" s="292"/>
      <c r="N40" s="292"/>
      <c r="O40" s="292"/>
      <c r="P40" s="292"/>
      <c r="Q40" s="292"/>
      <c r="R40" s="292"/>
      <c r="S40" s="292"/>
      <c r="T40" s="293"/>
      <c r="U40" s="293"/>
      <c r="V40" s="294"/>
      <c r="W40" s="295">
        <f>W41</f>
        <v>11490000</v>
      </c>
      <c r="X40" s="296"/>
      <c r="Y40" s="297"/>
      <c r="Z40" s="259"/>
      <c r="AA40" s="298"/>
      <c r="AB40" s="298"/>
      <c r="AC40" s="299"/>
      <c r="AD40" s="299"/>
      <c r="AE40" s="299"/>
      <c r="AF40" s="299"/>
      <c r="AG40" s="300"/>
      <c r="AH40" s="300"/>
      <c r="AI40" s="300"/>
      <c r="AJ40" s="301"/>
      <c r="AK40" s="302"/>
      <c r="AL40" s="303"/>
      <c r="AM40" s="259"/>
      <c r="AN40" s="298"/>
      <c r="AO40" s="298"/>
      <c r="AP40" s="299"/>
      <c r="AQ40" s="299"/>
      <c r="AR40" s="299"/>
      <c r="AS40" s="299"/>
      <c r="AT40" s="300"/>
      <c r="AU40" s="300"/>
      <c r="AV40" s="300"/>
      <c r="AW40" s="301"/>
      <c r="AX40" s="302"/>
      <c r="AY40" s="304"/>
    </row>
    <row r="41" spans="1:51" s="305" customFormat="1" ht="15" customHeight="1" x14ac:dyDescent="0.25">
      <c r="A41" s="269"/>
      <c r="B41" s="270" t="s">
        <v>59</v>
      </c>
      <c r="C41" s="270" t="s">
        <v>50</v>
      </c>
      <c r="D41" s="288" t="s">
        <v>67</v>
      </c>
      <c r="E41" s="288" t="s">
        <v>65</v>
      </c>
      <c r="F41" s="271" t="s">
        <v>65</v>
      </c>
      <c r="G41" s="270"/>
      <c r="H41" s="273"/>
      <c r="I41" s="289"/>
      <c r="J41" s="275" t="s">
        <v>152</v>
      </c>
      <c r="K41" s="290"/>
      <c r="L41" s="291"/>
      <c r="M41" s="292"/>
      <c r="N41" s="292"/>
      <c r="O41" s="292"/>
      <c r="P41" s="292"/>
      <c r="Q41" s="292"/>
      <c r="R41" s="292"/>
      <c r="S41" s="292"/>
      <c r="T41" s="293"/>
      <c r="U41" s="293"/>
      <c r="V41" s="294"/>
      <c r="W41" s="295">
        <f>W45+W42</f>
        <v>11490000</v>
      </c>
      <c r="X41" s="296"/>
      <c r="Y41" s="297"/>
      <c r="Z41" s="259"/>
      <c r="AA41" s="298"/>
      <c r="AB41" s="298"/>
      <c r="AC41" s="299"/>
      <c r="AD41" s="299"/>
      <c r="AE41" s="299"/>
      <c r="AF41" s="299"/>
      <c r="AG41" s="300"/>
      <c r="AH41" s="300"/>
      <c r="AI41" s="300"/>
      <c r="AJ41" s="301"/>
      <c r="AK41" s="302"/>
      <c r="AL41" s="303"/>
      <c r="AM41" s="259"/>
      <c r="AN41" s="298"/>
      <c r="AO41" s="298"/>
      <c r="AP41" s="299"/>
      <c r="AQ41" s="299"/>
      <c r="AR41" s="299"/>
      <c r="AS41" s="299"/>
      <c r="AT41" s="300"/>
      <c r="AU41" s="300"/>
      <c r="AV41" s="300"/>
      <c r="AW41" s="301"/>
      <c r="AX41" s="302"/>
      <c r="AY41" s="304"/>
    </row>
    <row r="42" spans="1:51" s="330" customFormat="1" ht="15" customHeight="1" x14ac:dyDescent="0.25">
      <c r="A42" s="306"/>
      <c r="B42" s="307" t="s">
        <v>59</v>
      </c>
      <c r="C42" s="307" t="s">
        <v>50</v>
      </c>
      <c r="D42" s="309" t="s">
        <v>67</v>
      </c>
      <c r="E42" s="309" t="s">
        <v>65</v>
      </c>
      <c r="F42" s="308" t="s">
        <v>65</v>
      </c>
      <c r="G42" s="310" t="s">
        <v>645</v>
      </c>
      <c r="H42" s="311"/>
      <c r="I42" s="312"/>
      <c r="J42" s="313" t="s">
        <v>646</v>
      </c>
      <c r="K42" s="314"/>
      <c r="L42" s="315"/>
      <c r="M42" s="316"/>
      <c r="N42" s="316"/>
      <c r="O42" s="316"/>
      <c r="P42" s="316"/>
      <c r="Q42" s="316"/>
      <c r="R42" s="316"/>
      <c r="S42" s="316"/>
      <c r="T42" s="317"/>
      <c r="U42" s="317"/>
      <c r="V42" s="318"/>
      <c r="W42" s="319">
        <f>SUM(W43:W44)</f>
        <v>5990000</v>
      </c>
      <c r="X42" s="320"/>
      <c r="Y42" s="321"/>
      <c r="Z42" s="322"/>
      <c r="AA42" s="323"/>
      <c r="AB42" s="323"/>
      <c r="AC42" s="324"/>
      <c r="AD42" s="324"/>
      <c r="AE42" s="324"/>
      <c r="AF42" s="324"/>
      <c r="AG42" s="325"/>
      <c r="AH42" s="325"/>
      <c r="AI42" s="325"/>
      <c r="AJ42" s="326"/>
      <c r="AK42" s="327"/>
      <c r="AL42" s="328"/>
      <c r="AM42" s="322"/>
      <c r="AN42" s="323"/>
      <c r="AO42" s="323"/>
      <c r="AP42" s="324"/>
      <c r="AQ42" s="324"/>
      <c r="AR42" s="324"/>
      <c r="AS42" s="324"/>
      <c r="AT42" s="325"/>
      <c r="AU42" s="325"/>
      <c r="AV42" s="325"/>
      <c r="AW42" s="326"/>
      <c r="AX42" s="327"/>
      <c r="AY42" s="329"/>
    </row>
    <row r="43" spans="1:51" s="330" customFormat="1" ht="15" customHeight="1" x14ac:dyDescent="0.25">
      <c r="A43" s="306"/>
      <c r="B43" s="307"/>
      <c r="C43" s="307"/>
      <c r="D43" s="309"/>
      <c r="E43" s="309"/>
      <c r="F43" s="308"/>
      <c r="G43" s="307"/>
      <c r="H43" s="311"/>
      <c r="I43" s="312"/>
      <c r="J43" s="313" t="s">
        <v>866</v>
      </c>
      <c r="K43" s="314"/>
      <c r="L43" s="315"/>
      <c r="M43" s="316"/>
      <c r="N43" s="316"/>
      <c r="O43" s="316"/>
      <c r="P43" s="316"/>
      <c r="Q43" s="316"/>
      <c r="R43" s="316">
        <v>50</v>
      </c>
      <c r="S43" s="316" t="s">
        <v>648</v>
      </c>
      <c r="T43" s="317">
        <v>50</v>
      </c>
      <c r="U43" s="317" t="s">
        <v>648</v>
      </c>
      <c r="V43" s="318">
        <v>1000</v>
      </c>
      <c r="W43" s="484">
        <f>V43*T43</f>
        <v>50000</v>
      </c>
      <c r="X43" s="320" t="s">
        <v>649</v>
      </c>
      <c r="Y43" s="321">
        <v>3210000</v>
      </c>
      <c r="Z43" s="322"/>
      <c r="AA43" s="323"/>
      <c r="AB43" s="323"/>
      <c r="AC43" s="324"/>
      <c r="AD43" s="324">
        <v>3210000</v>
      </c>
      <c r="AE43" s="324"/>
      <c r="AF43" s="324"/>
      <c r="AG43" s="325"/>
      <c r="AH43" s="325"/>
      <c r="AI43" s="325"/>
      <c r="AJ43" s="326"/>
      <c r="AK43" s="332">
        <f t="shared" ref="AK43" si="1">SUM(Y43:AJ43)</f>
        <v>6420000</v>
      </c>
      <c r="AL43" s="328"/>
      <c r="AM43" s="322"/>
      <c r="AN43" s="323"/>
      <c r="AO43" s="323"/>
      <c r="AP43" s="324"/>
      <c r="AQ43" s="324"/>
      <c r="AR43" s="324"/>
      <c r="AS43" s="324"/>
      <c r="AT43" s="325"/>
      <c r="AU43" s="325"/>
      <c r="AV43" s="325"/>
      <c r="AW43" s="326"/>
      <c r="AX43" s="332">
        <f t="shared" ref="AX43" si="2">SUM(AL43:AW43)</f>
        <v>0</v>
      </c>
      <c r="AY43" s="333">
        <f t="shared" ref="AY43" si="3">AK43-AX43</f>
        <v>6420000</v>
      </c>
    </row>
    <row r="44" spans="1:51" s="330" customFormat="1" ht="15" customHeight="1" x14ac:dyDescent="0.25">
      <c r="A44" s="306"/>
      <c r="B44" s="307"/>
      <c r="C44" s="307"/>
      <c r="D44" s="309"/>
      <c r="E44" s="309"/>
      <c r="F44" s="308"/>
      <c r="G44" s="307"/>
      <c r="H44" s="311"/>
      <c r="I44" s="312"/>
      <c r="J44" s="313" t="s">
        <v>897</v>
      </c>
      <c r="K44" s="314"/>
      <c r="L44" s="315"/>
      <c r="M44" s="316"/>
      <c r="N44" s="316"/>
      <c r="O44" s="316"/>
      <c r="P44" s="316"/>
      <c r="Q44" s="316"/>
      <c r="R44" s="316">
        <v>19800</v>
      </c>
      <c r="S44" s="316" t="s">
        <v>648</v>
      </c>
      <c r="T44" s="316">
        <v>19800</v>
      </c>
      <c r="U44" s="317" t="s">
        <v>648</v>
      </c>
      <c r="V44" s="318">
        <v>300</v>
      </c>
      <c r="W44" s="484">
        <f>V44*T44</f>
        <v>5940000</v>
      </c>
      <c r="X44" s="320" t="s">
        <v>649</v>
      </c>
      <c r="Y44" s="321"/>
      <c r="Z44" s="322"/>
      <c r="AA44" s="323"/>
      <c r="AB44" s="323"/>
      <c r="AC44" s="324"/>
      <c r="AD44" s="324"/>
      <c r="AE44" s="324"/>
      <c r="AF44" s="324"/>
      <c r="AG44" s="325"/>
      <c r="AH44" s="325"/>
      <c r="AI44" s="325"/>
      <c r="AJ44" s="326"/>
      <c r="AK44" s="327"/>
      <c r="AL44" s="328"/>
      <c r="AM44" s="322"/>
      <c r="AN44" s="323"/>
      <c r="AO44" s="323"/>
      <c r="AP44" s="324"/>
      <c r="AQ44" s="324"/>
      <c r="AR44" s="324"/>
      <c r="AS44" s="324"/>
      <c r="AT44" s="325"/>
      <c r="AU44" s="325"/>
      <c r="AV44" s="325"/>
      <c r="AW44" s="326"/>
      <c r="AX44" s="327"/>
      <c r="AY44" s="329"/>
    </row>
    <row r="45" spans="1:51" s="330" customFormat="1" ht="15" customHeight="1" x14ac:dyDescent="0.25">
      <c r="A45" s="306"/>
      <c r="B45" s="307" t="s">
        <v>59</v>
      </c>
      <c r="C45" s="307" t="s">
        <v>50</v>
      </c>
      <c r="D45" s="309" t="s">
        <v>67</v>
      </c>
      <c r="E45" s="309" t="s">
        <v>65</v>
      </c>
      <c r="F45" s="308" t="s">
        <v>65</v>
      </c>
      <c r="G45" s="310" t="s">
        <v>722</v>
      </c>
      <c r="H45" s="311"/>
      <c r="I45" s="312"/>
      <c r="J45" s="313" t="s">
        <v>723</v>
      </c>
      <c r="K45" s="314"/>
      <c r="L45" s="315"/>
      <c r="M45" s="316"/>
      <c r="N45" s="316"/>
      <c r="O45" s="316"/>
      <c r="P45" s="316"/>
      <c r="Q45" s="316"/>
      <c r="R45" s="316"/>
      <c r="S45" s="316"/>
      <c r="T45" s="317"/>
      <c r="U45" s="317"/>
      <c r="V45" s="318"/>
      <c r="W45" s="319">
        <f>SUM(W46:W47)</f>
        <v>5500000</v>
      </c>
      <c r="X45" s="320"/>
      <c r="Y45" s="321"/>
      <c r="Z45" s="322"/>
      <c r="AA45" s="323"/>
      <c r="AB45" s="323"/>
      <c r="AC45" s="324"/>
      <c r="AD45" s="324"/>
      <c r="AE45" s="324"/>
      <c r="AF45" s="324"/>
      <c r="AG45" s="325"/>
      <c r="AH45" s="325"/>
      <c r="AI45" s="325"/>
      <c r="AJ45" s="326"/>
      <c r="AK45" s="327"/>
      <c r="AL45" s="328"/>
      <c r="AM45" s="322"/>
      <c r="AN45" s="323"/>
      <c r="AO45" s="323"/>
      <c r="AP45" s="324"/>
      <c r="AQ45" s="324"/>
      <c r="AR45" s="324"/>
      <c r="AS45" s="324"/>
      <c r="AT45" s="325"/>
      <c r="AU45" s="325"/>
      <c r="AV45" s="325"/>
      <c r="AW45" s="326"/>
      <c r="AX45" s="327"/>
      <c r="AY45" s="329"/>
    </row>
    <row r="46" spans="1:51" s="330" customFormat="1" ht="15" customHeight="1" x14ac:dyDescent="0.25">
      <c r="A46" s="306"/>
      <c r="B46" s="307"/>
      <c r="C46" s="307"/>
      <c r="D46" s="308"/>
      <c r="E46" s="308"/>
      <c r="F46" s="308"/>
      <c r="G46" s="307"/>
      <c r="H46" s="311"/>
      <c r="I46" s="312"/>
      <c r="J46" s="331" t="s">
        <v>724</v>
      </c>
      <c r="K46" s="314"/>
      <c r="L46" s="315"/>
      <c r="M46" s="316"/>
      <c r="N46" s="316"/>
      <c r="O46" s="316"/>
      <c r="P46" s="316"/>
      <c r="Q46" s="316"/>
      <c r="R46" s="316">
        <v>500</v>
      </c>
      <c r="S46" s="316" t="s">
        <v>656</v>
      </c>
      <c r="T46" s="317">
        <f>R46</f>
        <v>500</v>
      </c>
      <c r="U46" s="317" t="s">
        <v>725</v>
      </c>
      <c r="V46" s="318">
        <v>11000</v>
      </c>
      <c r="W46" s="484">
        <f>V46*T46</f>
        <v>5500000</v>
      </c>
      <c r="X46" s="320" t="s">
        <v>649</v>
      </c>
      <c r="Y46" s="321">
        <v>1100000</v>
      </c>
      <c r="Z46" s="322"/>
      <c r="AA46" s="323"/>
      <c r="AB46" s="323"/>
      <c r="AC46" s="324"/>
      <c r="AD46" s="324"/>
      <c r="AE46" s="324"/>
      <c r="AF46" s="324"/>
      <c r="AG46" s="325"/>
      <c r="AH46" s="325"/>
      <c r="AI46" s="325"/>
      <c r="AJ46" s="326"/>
      <c r="AK46" s="332">
        <f t="shared" ref="AK46:AK47" si="4">SUM(Y46:AJ46)</f>
        <v>1100000</v>
      </c>
      <c r="AL46" s="328"/>
      <c r="AM46" s="322"/>
      <c r="AN46" s="323"/>
      <c r="AO46" s="323"/>
      <c r="AP46" s="324"/>
      <c r="AQ46" s="324"/>
      <c r="AR46" s="324"/>
      <c r="AS46" s="324"/>
      <c r="AT46" s="325"/>
      <c r="AU46" s="325"/>
      <c r="AV46" s="325"/>
      <c r="AW46" s="326"/>
      <c r="AX46" s="332">
        <f t="shared" ref="AX46:AX47" si="5">SUM(AL46:AW46)</f>
        <v>0</v>
      </c>
      <c r="AY46" s="333">
        <f t="shared" ref="AY46:AY47" si="6">AK46-AX46</f>
        <v>1100000</v>
      </c>
    </row>
    <row r="47" spans="1:51" s="330" customFormat="1" ht="15" customHeight="1" x14ac:dyDescent="0.25">
      <c r="A47" s="306"/>
      <c r="B47" s="307"/>
      <c r="C47" s="307"/>
      <c r="D47" s="308"/>
      <c r="E47" s="308"/>
      <c r="F47" s="308"/>
      <c r="G47" s="307"/>
      <c r="H47" s="311"/>
      <c r="I47" s="312"/>
      <c r="J47" s="331"/>
      <c r="K47" s="314"/>
      <c r="L47" s="315"/>
      <c r="M47" s="316"/>
      <c r="N47" s="316"/>
      <c r="O47" s="316"/>
      <c r="P47" s="316"/>
      <c r="Q47" s="316"/>
      <c r="R47" s="316"/>
      <c r="S47" s="316"/>
      <c r="T47" s="317"/>
      <c r="U47" s="317"/>
      <c r="V47" s="318"/>
      <c r="W47" s="484"/>
      <c r="X47" s="320"/>
      <c r="Y47" s="321">
        <v>7245000</v>
      </c>
      <c r="Z47" s="322"/>
      <c r="AA47" s="323"/>
      <c r="AB47" s="323"/>
      <c r="AC47" s="324"/>
      <c r="AD47" s="324"/>
      <c r="AE47" s="324"/>
      <c r="AF47" s="324"/>
      <c r="AG47" s="325"/>
      <c r="AH47" s="325"/>
      <c r="AI47" s="325"/>
      <c r="AJ47" s="326"/>
      <c r="AK47" s="332">
        <f t="shared" si="4"/>
        <v>7245000</v>
      </c>
      <c r="AL47" s="328"/>
      <c r="AM47" s="322"/>
      <c r="AN47" s="323"/>
      <c r="AO47" s="323"/>
      <c r="AP47" s="324"/>
      <c r="AQ47" s="324"/>
      <c r="AR47" s="324"/>
      <c r="AS47" s="324"/>
      <c r="AT47" s="325"/>
      <c r="AU47" s="325"/>
      <c r="AV47" s="325"/>
      <c r="AW47" s="326"/>
      <c r="AX47" s="332">
        <f t="shared" si="5"/>
        <v>0</v>
      </c>
      <c r="AY47" s="333">
        <f t="shared" si="6"/>
        <v>7245000</v>
      </c>
    </row>
    <row r="48" spans="1:51" s="345" customFormat="1" ht="15" customHeight="1" thickBot="1" x14ac:dyDescent="0.3">
      <c r="A48" s="306"/>
      <c r="B48" s="307"/>
      <c r="C48" s="307"/>
      <c r="D48" s="308"/>
      <c r="E48" s="308"/>
      <c r="F48" s="308"/>
      <c r="G48" s="307"/>
      <c r="H48" s="311"/>
      <c r="I48" s="347"/>
      <c r="J48" s="313"/>
      <c r="K48" s="284"/>
      <c r="L48" s="285"/>
      <c r="M48" s="286"/>
      <c r="N48" s="286"/>
      <c r="O48" s="286"/>
      <c r="P48" s="286"/>
      <c r="Q48" s="286"/>
      <c r="R48" s="286"/>
      <c r="S48" s="286"/>
      <c r="T48" s="279"/>
      <c r="U48" s="279"/>
      <c r="V48" s="280"/>
      <c r="W48" s="346"/>
      <c r="X48" s="348"/>
      <c r="Y48" s="337"/>
      <c r="Z48" s="338"/>
      <c r="AA48" s="338"/>
      <c r="AB48" s="338"/>
      <c r="AC48" s="339"/>
      <c r="AD48" s="339"/>
      <c r="AE48" s="339"/>
      <c r="AF48" s="339"/>
      <c r="AG48" s="340"/>
      <c r="AH48" s="340"/>
      <c r="AI48" s="340"/>
      <c r="AJ48" s="341"/>
      <c r="AK48" s="343"/>
      <c r="AL48" s="342"/>
      <c r="AM48" s="338"/>
      <c r="AN48" s="338"/>
      <c r="AO48" s="338"/>
      <c r="AP48" s="339"/>
      <c r="AQ48" s="339"/>
      <c r="AR48" s="339"/>
      <c r="AS48" s="339"/>
      <c r="AT48" s="340"/>
      <c r="AU48" s="340"/>
      <c r="AV48" s="340"/>
      <c r="AW48" s="341"/>
      <c r="AX48" s="343"/>
      <c r="AY48" s="344"/>
    </row>
    <row r="49" spans="1:51" s="379" customFormat="1" ht="20.25" customHeight="1" thickBot="1" x14ac:dyDescent="0.3">
      <c r="A49" s="365" t="s">
        <v>157</v>
      </c>
      <c r="B49" s="366"/>
      <c r="C49" s="367"/>
      <c r="D49" s="367"/>
      <c r="E49" s="367"/>
      <c r="F49" s="367"/>
      <c r="G49" s="367"/>
      <c r="H49" s="367"/>
      <c r="I49" s="367"/>
      <c r="J49" s="367"/>
      <c r="K49" s="367"/>
      <c r="L49" s="367"/>
      <c r="M49" s="367"/>
      <c r="N49" s="367"/>
      <c r="O49" s="367"/>
      <c r="P49" s="367"/>
      <c r="Q49" s="367"/>
      <c r="R49" s="367"/>
      <c r="S49" s="367"/>
      <c r="T49" s="367"/>
      <c r="U49" s="367"/>
      <c r="V49" s="368"/>
      <c r="W49" s="369">
        <f>W37</f>
        <v>11490000</v>
      </c>
      <c r="X49" s="370"/>
      <c r="Y49" s="371"/>
      <c r="Z49" s="372"/>
      <c r="AA49" s="372"/>
      <c r="AB49" s="372"/>
      <c r="AC49" s="373"/>
      <c r="AD49" s="373"/>
      <c r="AE49" s="373"/>
      <c r="AF49" s="373"/>
      <c r="AG49" s="374"/>
      <c r="AH49" s="374"/>
      <c r="AI49" s="374"/>
      <c r="AJ49" s="375"/>
      <c r="AK49" s="376">
        <f>SUM(AK36:AK48)</f>
        <v>14765000</v>
      </c>
      <c r="AL49" s="377"/>
      <c r="AM49" s="372"/>
      <c r="AN49" s="372"/>
      <c r="AO49" s="372"/>
      <c r="AP49" s="373"/>
      <c r="AQ49" s="373"/>
      <c r="AR49" s="373"/>
      <c r="AS49" s="373"/>
      <c r="AT49" s="374"/>
      <c r="AU49" s="374"/>
      <c r="AV49" s="374"/>
      <c r="AW49" s="375"/>
      <c r="AX49" s="376">
        <f>SUM(AX36:AX48)</f>
        <v>0</v>
      </c>
      <c r="AY49" s="378">
        <f>SUM(AY36:AY48)</f>
        <v>14765000</v>
      </c>
    </row>
    <row r="50" spans="1:51" s="268" customFormat="1" ht="15.75" x14ac:dyDescent="0.25">
      <c r="A50" s="219" t="s">
        <v>158</v>
      </c>
      <c r="B50" s="380"/>
      <c r="C50" s="380"/>
      <c r="D50" s="380"/>
      <c r="E50" s="380"/>
      <c r="F50" s="380"/>
      <c r="G50" s="380"/>
      <c r="H50" s="380"/>
      <c r="I50" s="380"/>
      <c r="J50" s="380"/>
      <c r="K50" s="381"/>
      <c r="L50" s="382"/>
      <c r="M50" s="380"/>
      <c r="N50" s="380"/>
      <c r="O50" s="380"/>
      <c r="P50" s="380"/>
      <c r="Q50" s="380"/>
      <c r="R50" s="380"/>
      <c r="S50" s="380"/>
      <c r="T50" s="383"/>
      <c r="U50" s="384"/>
      <c r="V50" s="384"/>
      <c r="W50" s="384"/>
      <c r="X50" s="385"/>
      <c r="Y50" s="386"/>
      <c r="Z50" s="387"/>
      <c r="AA50" s="387"/>
      <c r="AB50" s="387"/>
      <c r="AC50" s="387"/>
      <c r="AD50" s="387"/>
      <c r="AE50" s="387"/>
      <c r="AF50" s="387"/>
      <c r="AG50" s="387"/>
      <c r="AH50" s="387"/>
      <c r="AI50" s="387"/>
      <c r="AJ50" s="387"/>
    </row>
    <row r="51" spans="1:51" s="268" customFormat="1" ht="15.75" x14ac:dyDescent="0.25">
      <c r="A51" s="219" t="s">
        <v>159</v>
      </c>
      <c r="B51" s="220"/>
      <c r="C51" s="380"/>
      <c r="D51" s="660" t="s">
        <v>160</v>
      </c>
      <c r="E51" s="660"/>
      <c r="F51" s="660"/>
      <c r="G51" s="660"/>
      <c r="H51" s="660"/>
      <c r="I51" s="388"/>
      <c r="J51" s="388"/>
      <c r="K51" s="389"/>
      <c r="L51" s="390"/>
      <c r="M51" s="391"/>
      <c r="N51" s="391"/>
      <c r="O51" s="391"/>
      <c r="P51" s="391"/>
      <c r="Q51" s="391"/>
      <c r="R51" s="391"/>
      <c r="S51" s="391"/>
      <c r="T51" s="380"/>
      <c r="U51" s="388"/>
      <c r="V51" s="392" t="s">
        <v>841</v>
      </c>
      <c r="W51" s="393"/>
      <c r="X51" s="394"/>
      <c r="Y51" s="387"/>
      <c r="Z51" s="387"/>
      <c r="AA51" s="387" t="s">
        <v>161</v>
      </c>
      <c r="AB51" s="387"/>
      <c r="AC51" s="387"/>
      <c r="AD51" s="387"/>
      <c r="AE51" s="387"/>
      <c r="AF51" s="387"/>
      <c r="AG51" s="387"/>
      <c r="AH51" s="387"/>
      <c r="AI51" s="387"/>
      <c r="AJ51" s="387"/>
    </row>
    <row r="52" spans="1:51" s="268" customFormat="1" ht="12" customHeight="1" x14ac:dyDescent="0.25">
      <c r="A52" s="219" t="s">
        <v>162</v>
      </c>
      <c r="B52" s="220"/>
      <c r="C52" s="380"/>
      <c r="D52" s="660" t="s">
        <v>160</v>
      </c>
      <c r="E52" s="660"/>
      <c r="F52" s="660"/>
      <c r="G52" s="660"/>
      <c r="H52" s="660"/>
      <c r="I52" s="388"/>
      <c r="J52" s="388"/>
      <c r="K52" s="389"/>
      <c r="L52" s="390"/>
      <c r="M52" s="391"/>
      <c r="N52" s="391"/>
      <c r="O52" s="391"/>
      <c r="P52" s="391"/>
      <c r="Q52" s="391"/>
      <c r="R52" s="391"/>
      <c r="S52" s="391"/>
      <c r="T52" s="380"/>
      <c r="U52" s="384"/>
      <c r="V52" s="395" t="s">
        <v>26</v>
      </c>
      <c r="W52" s="393"/>
      <c r="X52" s="394"/>
      <c r="Y52" s="387"/>
      <c r="Z52" s="387"/>
      <c r="AA52" s="387"/>
      <c r="AB52" s="387"/>
      <c r="AC52" s="387"/>
      <c r="AD52" s="387"/>
      <c r="AE52" s="387"/>
      <c r="AF52" s="387"/>
      <c r="AG52" s="387"/>
      <c r="AH52" s="387"/>
      <c r="AI52" s="387"/>
      <c r="AJ52" s="387"/>
    </row>
    <row r="53" spans="1:51" s="268" customFormat="1" ht="15.75" x14ac:dyDescent="0.25">
      <c r="A53" s="219" t="s">
        <v>163</v>
      </c>
      <c r="B53" s="220"/>
      <c r="C53" s="380"/>
      <c r="D53" s="660" t="s">
        <v>160</v>
      </c>
      <c r="E53" s="660"/>
      <c r="F53" s="660"/>
      <c r="G53" s="660"/>
      <c r="H53" s="660"/>
      <c r="I53" s="388"/>
      <c r="J53" s="388"/>
      <c r="K53" s="389"/>
      <c r="L53" s="390"/>
      <c r="M53" s="391"/>
      <c r="N53" s="391"/>
      <c r="O53" s="391"/>
      <c r="P53" s="391"/>
      <c r="Q53" s="391"/>
      <c r="R53" s="391"/>
      <c r="S53" s="391"/>
      <c r="T53" s="380"/>
      <c r="U53" s="384"/>
      <c r="V53" s="395"/>
      <c r="W53" s="393"/>
      <c r="X53" s="394"/>
      <c r="Y53" s="387"/>
      <c r="Z53" s="387"/>
      <c r="AA53" s="387"/>
      <c r="AB53" s="387"/>
      <c r="AC53" s="387"/>
      <c r="AD53" s="387"/>
      <c r="AE53" s="387"/>
      <c r="AF53" s="387"/>
      <c r="AG53" s="387"/>
      <c r="AH53" s="387"/>
      <c r="AI53" s="387"/>
      <c r="AJ53" s="387"/>
    </row>
    <row r="54" spans="1:51" s="268" customFormat="1" ht="15.75" x14ac:dyDescent="0.25">
      <c r="A54" s="219"/>
      <c r="B54" s="220"/>
      <c r="C54" s="380"/>
      <c r="D54" s="659"/>
      <c r="E54" s="659"/>
      <c r="F54" s="659"/>
      <c r="G54" s="659"/>
      <c r="H54" s="659"/>
      <c r="I54" s="388"/>
      <c r="J54" s="388"/>
      <c r="K54" s="396"/>
      <c r="L54" s="390"/>
      <c r="M54" s="391"/>
      <c r="N54" s="391"/>
      <c r="O54" s="391"/>
      <c r="P54" s="391"/>
      <c r="Q54" s="391"/>
      <c r="R54" s="391"/>
      <c r="S54" s="391"/>
      <c r="T54" s="380"/>
      <c r="U54" s="393"/>
      <c r="V54" s="395"/>
      <c r="W54" s="393"/>
      <c r="X54" s="394"/>
      <c r="Y54" s="387"/>
      <c r="Z54" s="387"/>
      <c r="AA54" s="387"/>
      <c r="AB54" s="387"/>
      <c r="AC54" s="387"/>
      <c r="AD54" s="387"/>
      <c r="AE54" s="387"/>
      <c r="AF54" s="387"/>
      <c r="AG54" s="387"/>
      <c r="AH54" s="387"/>
      <c r="AI54" s="387"/>
      <c r="AJ54" s="387"/>
    </row>
    <row r="55" spans="1:51" s="268" customFormat="1" ht="15.75" x14ac:dyDescent="0.25">
      <c r="A55" s="219" t="s">
        <v>87</v>
      </c>
      <c r="B55" s="220"/>
      <c r="C55" s="380"/>
      <c r="D55" s="660" t="s">
        <v>160</v>
      </c>
      <c r="E55" s="660"/>
      <c r="F55" s="660"/>
      <c r="G55" s="660"/>
      <c r="H55" s="660"/>
      <c r="I55" s="388"/>
      <c r="J55" s="388"/>
      <c r="K55" s="396"/>
      <c r="L55" s="390"/>
      <c r="M55" s="391"/>
      <c r="N55" s="391"/>
      <c r="O55" s="391"/>
      <c r="P55" s="391"/>
      <c r="Q55" s="391"/>
      <c r="R55" s="391"/>
      <c r="S55" s="391"/>
      <c r="T55" s="380"/>
      <c r="U55" s="393"/>
      <c r="V55" s="397"/>
      <c r="W55" s="398"/>
      <c r="X55" s="394"/>
      <c r="Y55" s="387"/>
      <c r="Z55" s="387"/>
      <c r="AA55" s="387"/>
      <c r="AB55" s="387"/>
      <c r="AC55" s="387"/>
      <c r="AD55" s="387"/>
      <c r="AE55" s="387"/>
      <c r="AF55" s="387"/>
      <c r="AG55" s="387"/>
      <c r="AH55" s="387"/>
      <c r="AI55" s="387"/>
      <c r="AJ55" s="387"/>
    </row>
    <row r="56" spans="1:51" s="268" customFormat="1" ht="15.75" x14ac:dyDescent="0.25">
      <c r="A56" s="399"/>
      <c r="B56" s="380"/>
      <c r="C56" s="380"/>
      <c r="D56" s="380"/>
      <c r="E56" s="380"/>
      <c r="F56" s="380"/>
      <c r="G56" s="380"/>
      <c r="H56" s="380"/>
      <c r="I56" s="388"/>
      <c r="J56" s="388"/>
      <c r="K56" s="396"/>
      <c r="L56" s="390"/>
      <c r="M56" s="391"/>
      <c r="N56" s="391"/>
      <c r="O56" s="391"/>
      <c r="P56" s="391"/>
      <c r="Q56" s="391"/>
      <c r="R56" s="391"/>
      <c r="S56" s="391"/>
      <c r="T56" s="380"/>
      <c r="U56" s="223"/>
      <c r="V56" s="400" t="s">
        <v>28</v>
      </c>
      <c r="W56" s="401"/>
      <c r="X56" s="394"/>
      <c r="Y56" s="387"/>
      <c r="Z56" s="387"/>
      <c r="AA56" s="387"/>
      <c r="AB56" s="387"/>
      <c r="AC56" s="387"/>
      <c r="AD56" s="387"/>
      <c r="AE56" s="387"/>
      <c r="AF56" s="387"/>
      <c r="AG56" s="387"/>
      <c r="AH56" s="387"/>
      <c r="AI56" s="387"/>
      <c r="AJ56" s="387"/>
    </row>
    <row r="57" spans="1:51" s="268" customFormat="1" ht="15.75" x14ac:dyDescent="0.25">
      <c r="A57" s="399"/>
      <c r="B57" s="380"/>
      <c r="C57" s="380"/>
      <c r="D57" s="380"/>
      <c r="E57" s="380"/>
      <c r="F57" s="380"/>
      <c r="G57" s="380"/>
      <c r="H57" s="380"/>
      <c r="I57" s="393"/>
      <c r="J57" s="388"/>
      <c r="K57" s="389"/>
      <c r="L57" s="390"/>
      <c r="M57" s="391"/>
      <c r="N57" s="391"/>
      <c r="O57" s="391"/>
      <c r="P57" s="391"/>
      <c r="Q57" s="391"/>
      <c r="R57" s="391"/>
      <c r="S57" s="391"/>
      <c r="T57" s="380"/>
      <c r="U57" s="223"/>
      <c r="V57" s="402" t="s">
        <v>76</v>
      </c>
      <c r="W57" s="393"/>
      <c r="X57" s="394"/>
      <c r="Y57" s="387"/>
      <c r="Z57" s="387"/>
      <c r="AA57" s="387"/>
      <c r="AB57" s="387"/>
      <c r="AC57" s="387"/>
      <c r="AD57" s="387"/>
      <c r="AE57" s="387"/>
      <c r="AF57" s="387"/>
      <c r="AG57" s="387"/>
      <c r="AH57" s="387"/>
      <c r="AI57" s="387"/>
      <c r="AJ57" s="387"/>
    </row>
    <row r="58" spans="1:51" s="268" customFormat="1" ht="11.25" customHeight="1" thickBot="1" x14ac:dyDescent="0.3">
      <c r="A58" s="403"/>
      <c r="B58" s="404"/>
      <c r="C58" s="404"/>
      <c r="D58" s="404"/>
      <c r="E58" s="404"/>
      <c r="F58" s="404"/>
      <c r="G58" s="404"/>
      <c r="H58" s="404"/>
      <c r="I58" s="405"/>
      <c r="J58" s="405"/>
      <c r="K58" s="406"/>
      <c r="L58" s="407"/>
      <c r="M58" s="405"/>
      <c r="N58" s="405"/>
      <c r="O58" s="405"/>
      <c r="P58" s="405"/>
      <c r="Q58" s="405"/>
      <c r="R58" s="405"/>
      <c r="S58" s="405"/>
      <c r="T58" s="408"/>
      <c r="U58" s="409"/>
      <c r="V58" s="410"/>
      <c r="W58" s="410"/>
      <c r="X58" s="411"/>
      <c r="Y58" s="387"/>
      <c r="Z58" s="387"/>
      <c r="AA58" s="387"/>
      <c r="AB58" s="387"/>
      <c r="AC58" s="387"/>
      <c r="AD58" s="387"/>
      <c r="AE58" s="387"/>
      <c r="AF58" s="387"/>
      <c r="AG58" s="387"/>
      <c r="AH58" s="387"/>
      <c r="AI58" s="387"/>
      <c r="AJ58" s="387"/>
    </row>
    <row r="59" spans="1:51" s="199" customFormat="1" ht="15.75" x14ac:dyDescent="0.25">
      <c r="A59" s="412"/>
      <c r="B59" s="412"/>
      <c r="C59" s="412"/>
      <c r="D59" s="412"/>
      <c r="E59" s="412"/>
      <c r="F59" s="412"/>
      <c r="G59" s="412"/>
      <c r="H59" s="412"/>
      <c r="I59" s="413"/>
      <c r="J59" s="413"/>
      <c r="K59" s="413"/>
      <c r="L59" s="414"/>
      <c r="M59" s="412"/>
      <c r="N59" s="412"/>
      <c r="O59" s="412"/>
      <c r="P59" s="412"/>
      <c r="Q59" s="412"/>
      <c r="R59" s="412"/>
      <c r="S59" s="412"/>
      <c r="T59" s="412"/>
      <c r="U59" s="413"/>
      <c r="V59" s="413"/>
      <c r="W59" s="413"/>
      <c r="X59" s="413"/>
      <c r="Y59" s="198"/>
      <c r="Z59" s="198"/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</row>
    <row r="60" spans="1:51" s="199" customFormat="1" ht="15.75" x14ac:dyDescent="0.25">
      <c r="A60" s="412"/>
      <c r="B60" s="412"/>
      <c r="C60" s="412"/>
      <c r="D60" s="412"/>
      <c r="E60" s="412"/>
      <c r="F60" s="412"/>
      <c r="G60" s="412"/>
      <c r="H60" s="412"/>
      <c r="I60" s="413"/>
      <c r="J60" s="413"/>
      <c r="K60" s="413"/>
      <c r="L60" s="414"/>
      <c r="M60" s="412"/>
      <c r="N60" s="412"/>
      <c r="O60" s="412"/>
      <c r="P60" s="412"/>
      <c r="Q60" s="412"/>
      <c r="R60" s="412"/>
      <c r="S60" s="412"/>
      <c r="T60" s="412"/>
      <c r="U60" s="413"/>
      <c r="V60" s="413"/>
      <c r="W60" s="413"/>
      <c r="X60" s="413"/>
      <c r="Y60" s="198"/>
      <c r="Z60" s="198"/>
      <c r="AA60" s="198"/>
      <c r="AB60" s="198"/>
      <c r="AC60" s="198"/>
      <c r="AD60" s="198"/>
      <c r="AE60" s="198"/>
      <c r="AF60" s="198"/>
      <c r="AG60" s="198"/>
      <c r="AH60" s="198"/>
      <c r="AI60" s="198"/>
      <c r="AJ60" s="198"/>
    </row>
    <row r="61" spans="1:51" s="199" customFormat="1" ht="15.75" x14ac:dyDescent="0.25">
      <c r="A61" s="412"/>
      <c r="B61" s="412"/>
      <c r="C61" s="412"/>
      <c r="D61" s="412"/>
      <c r="E61" s="412"/>
      <c r="F61" s="412"/>
      <c r="G61" s="412"/>
      <c r="H61" s="412"/>
      <c r="I61" s="413"/>
      <c r="J61" s="413"/>
      <c r="K61" s="413"/>
      <c r="L61" s="414"/>
      <c r="M61" s="412"/>
      <c r="N61" s="412"/>
      <c r="O61" s="412"/>
      <c r="P61" s="412"/>
      <c r="Q61" s="412"/>
      <c r="R61" s="412"/>
      <c r="S61" s="412"/>
      <c r="T61" s="412"/>
      <c r="U61" s="413"/>
      <c r="V61" s="413"/>
      <c r="W61" s="413"/>
      <c r="X61" s="413"/>
      <c r="Y61" s="198"/>
      <c r="Z61" s="198"/>
      <c r="AA61" s="198"/>
      <c r="AB61" s="198"/>
      <c r="AC61" s="198"/>
      <c r="AD61" s="198"/>
      <c r="AE61" s="198"/>
      <c r="AF61" s="198"/>
      <c r="AG61" s="198"/>
      <c r="AH61" s="198"/>
      <c r="AI61" s="198"/>
      <c r="AJ61" s="198"/>
    </row>
    <row r="62" spans="1:51" ht="15.75" x14ac:dyDescent="0.25">
      <c r="A62" s="412"/>
      <c r="B62" s="412"/>
      <c r="C62" s="412"/>
      <c r="D62" s="412"/>
      <c r="E62" s="412"/>
      <c r="F62" s="412"/>
      <c r="G62" s="412"/>
      <c r="H62" s="412"/>
      <c r="I62" s="413"/>
      <c r="J62" s="413"/>
      <c r="K62" s="413"/>
      <c r="L62" s="414"/>
      <c r="M62" s="412"/>
      <c r="N62" s="412"/>
      <c r="O62" s="412"/>
      <c r="P62" s="412"/>
      <c r="Q62" s="412"/>
      <c r="R62" s="412"/>
      <c r="S62" s="412"/>
      <c r="T62" s="412"/>
      <c r="U62" s="413"/>
      <c r="V62" s="413"/>
      <c r="W62" s="413"/>
      <c r="X62" s="413"/>
    </row>
  </sheetData>
  <mergeCells count="72">
    <mergeCell ref="D54:H54"/>
    <mergeCell ref="D55:H55"/>
    <mergeCell ref="A36:H36"/>
    <mergeCell ref="I36:K36"/>
    <mergeCell ref="L36:S36"/>
    <mergeCell ref="D51:H51"/>
    <mergeCell ref="D52:H52"/>
    <mergeCell ref="D53:H53"/>
    <mergeCell ref="AI34:AI35"/>
    <mergeCell ref="AW34:AW35"/>
    <mergeCell ref="AL34:AL35"/>
    <mergeCell ref="AM34:AM35"/>
    <mergeCell ref="AN34:AN35"/>
    <mergeCell ref="AO34:AO35"/>
    <mergeCell ref="AP34:AP35"/>
    <mergeCell ref="AQ34:AQ35"/>
    <mergeCell ref="AR34:AR35"/>
    <mergeCell ref="AS34:AS35"/>
    <mergeCell ref="AT34:AT35"/>
    <mergeCell ref="AU34:AU35"/>
    <mergeCell ref="AV34:AV35"/>
    <mergeCell ref="Y31:AJ33"/>
    <mergeCell ref="AK31:AK35"/>
    <mergeCell ref="AL31:AW33"/>
    <mergeCell ref="AX31:AX35"/>
    <mergeCell ref="AY31:AY35"/>
    <mergeCell ref="AJ34:AJ35"/>
    <mergeCell ref="Y34:Y35"/>
    <mergeCell ref="Z34:Z35"/>
    <mergeCell ref="AA34:AA35"/>
    <mergeCell ref="AB34:AB35"/>
    <mergeCell ref="AC34:AC35"/>
    <mergeCell ref="AD34:AD35"/>
    <mergeCell ref="AE34:AE35"/>
    <mergeCell ref="AF34:AF35"/>
    <mergeCell ref="AG34:AG35"/>
    <mergeCell ref="AH34:AH35"/>
    <mergeCell ref="A24:I24"/>
    <mergeCell ref="A28:I28"/>
    <mergeCell ref="A29:X29"/>
    <mergeCell ref="A30:X30"/>
    <mergeCell ref="A31:H35"/>
    <mergeCell ref="I31:K35"/>
    <mergeCell ref="L31:V32"/>
    <mergeCell ref="W31:W33"/>
    <mergeCell ref="X31:X35"/>
    <mergeCell ref="L33:S35"/>
    <mergeCell ref="T33:T35"/>
    <mergeCell ref="U33:U35"/>
    <mergeCell ref="V33:V35"/>
    <mergeCell ref="W34:W35"/>
    <mergeCell ref="V23:X23"/>
    <mergeCell ref="A14:I14"/>
    <mergeCell ref="J14:U14"/>
    <mergeCell ref="V14:X14"/>
    <mergeCell ref="A15:I15"/>
    <mergeCell ref="A16:I19"/>
    <mergeCell ref="V16:X16"/>
    <mergeCell ref="V17:X17"/>
    <mergeCell ref="V18:X18"/>
    <mergeCell ref="V19:X19"/>
    <mergeCell ref="A20:I20"/>
    <mergeCell ref="V20:X20"/>
    <mergeCell ref="V21:X21"/>
    <mergeCell ref="K22:U22"/>
    <mergeCell ref="V22:X22"/>
    <mergeCell ref="A13:X13"/>
    <mergeCell ref="V3:X3"/>
    <mergeCell ref="A5:X5"/>
    <mergeCell ref="A6:X6"/>
    <mergeCell ref="A7:I7"/>
    <mergeCell ref="A9:I9"/>
  </mergeCells>
  <pageMargins left="0.85" right="0" top="1" bottom="1.5" header="0.42" footer="0.31"/>
  <pageSetup paperSize="124" scale="57" orientation="portrait" r:id="rId1"/>
  <headerFooter alignWithMargins="0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41FDC-62F4-4189-8375-B2EA19F5EB4B}">
  <dimension ref="A1:AY66"/>
  <sheetViews>
    <sheetView showGridLines="0" topLeftCell="I34" zoomScale="80" zoomScaleNormal="80" zoomScaleSheetLayoutView="70" zoomScalePageLayoutView="40" workbookViewId="0">
      <selection activeCell="V47" sqref="V47"/>
    </sheetView>
  </sheetViews>
  <sheetFormatPr defaultColWidth="9.140625" defaultRowHeight="12.75" x14ac:dyDescent="0.2"/>
  <cols>
    <col min="1" max="6" width="3.7109375" style="415" customWidth="1"/>
    <col min="7" max="7" width="5.85546875" style="415" bestFit="1" customWidth="1"/>
    <col min="8" max="8" width="3.7109375" style="415" customWidth="1"/>
    <col min="9" max="9" width="2" style="176" customWidth="1"/>
    <col min="10" max="10" width="3.140625" style="176" customWidth="1"/>
    <col min="11" max="11" width="43.5703125" style="176" customWidth="1"/>
    <col min="12" max="12" width="4.140625" style="416" customWidth="1"/>
    <col min="13" max="15" width="4" style="415" customWidth="1"/>
    <col min="16" max="16" width="6.5703125" style="415" bestFit="1" customWidth="1"/>
    <col min="17" max="18" width="4" style="415" customWidth="1"/>
    <col min="19" max="19" width="6.7109375" style="415" bestFit="1" customWidth="1"/>
    <col min="20" max="20" width="8.5703125" style="415" customWidth="1"/>
    <col min="21" max="21" width="9.28515625" style="176" customWidth="1"/>
    <col min="22" max="22" width="12.140625" style="176" customWidth="1"/>
    <col min="23" max="23" width="14.28515625" style="176" customWidth="1"/>
    <col min="24" max="24" width="9.5703125" style="176" customWidth="1"/>
    <col min="25" max="25" width="10.28515625" style="175" bestFit="1" customWidth="1"/>
    <col min="26" max="26" width="8" style="175" customWidth="1"/>
    <col min="27" max="29" width="9.28515625" style="175" bestFit="1" customWidth="1"/>
    <col min="30" max="30" width="8" style="175" customWidth="1"/>
    <col min="31" max="31" width="9.28515625" style="175" bestFit="1" customWidth="1"/>
    <col min="32" max="34" width="8" style="175" customWidth="1"/>
    <col min="35" max="35" width="9.28515625" style="175" bestFit="1" customWidth="1"/>
    <col min="36" max="36" width="8" style="175" customWidth="1"/>
    <col min="37" max="37" width="11.7109375" style="176" customWidth="1"/>
    <col min="38" max="50" width="9.140625" style="176"/>
    <col min="51" max="51" width="10.28515625" style="176" bestFit="1" customWidth="1"/>
    <col min="52" max="16384" width="9.140625" style="176"/>
  </cols>
  <sheetData>
    <row r="1" spans="1:36" ht="14.25" customHeight="1" x14ac:dyDescent="0.2">
      <c r="A1" s="169"/>
      <c r="B1" s="170"/>
      <c r="C1" s="170"/>
      <c r="D1" s="170"/>
      <c r="E1" s="170"/>
      <c r="F1" s="170"/>
      <c r="G1" s="170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2"/>
      <c r="U1" s="171"/>
      <c r="V1" s="173"/>
      <c r="W1" s="171"/>
      <c r="X1" s="174"/>
    </row>
    <row r="2" spans="1:36" ht="18.75" customHeight="1" x14ac:dyDescent="0.4">
      <c r="A2" s="177"/>
      <c r="B2" s="178"/>
      <c r="C2" s="178"/>
      <c r="D2" s="178"/>
      <c r="E2" s="178"/>
      <c r="F2" s="178"/>
      <c r="G2" s="178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80"/>
      <c r="U2" s="179"/>
      <c r="V2" s="181"/>
      <c r="W2" s="179"/>
      <c r="X2" s="182"/>
    </row>
    <row r="3" spans="1:36" ht="24.75" customHeight="1" x14ac:dyDescent="0.2">
      <c r="A3" s="183"/>
      <c r="B3" s="184"/>
      <c r="C3" s="184"/>
      <c r="D3" s="184"/>
      <c r="E3" s="184"/>
      <c r="F3" s="184"/>
      <c r="G3" s="184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6"/>
      <c r="U3" s="185"/>
      <c r="V3" s="562" t="s">
        <v>21</v>
      </c>
      <c r="W3" s="563"/>
      <c r="X3" s="564"/>
    </row>
    <row r="4" spans="1:36" ht="32.25" customHeight="1" thickBot="1" x14ac:dyDescent="0.25">
      <c r="A4" s="187"/>
      <c r="B4" s="188"/>
      <c r="C4" s="188"/>
      <c r="D4" s="188"/>
      <c r="E4" s="188"/>
      <c r="F4" s="188"/>
      <c r="G4" s="188"/>
      <c r="H4" s="189"/>
      <c r="I4" s="189"/>
      <c r="J4" s="189"/>
      <c r="K4" s="190"/>
      <c r="L4" s="189"/>
      <c r="M4" s="189"/>
      <c r="N4" s="189"/>
      <c r="O4" s="189"/>
      <c r="P4" s="189"/>
      <c r="Q4" s="189"/>
      <c r="R4" s="189"/>
      <c r="S4" s="189"/>
      <c r="T4" s="190"/>
      <c r="U4" s="189"/>
      <c r="V4" s="191"/>
      <c r="W4" s="192">
        <v>1</v>
      </c>
      <c r="X4" s="193"/>
    </row>
    <row r="5" spans="1:36" ht="21" customHeight="1" x14ac:dyDescent="0.2">
      <c r="A5" s="565" t="s">
        <v>1</v>
      </c>
      <c r="B5" s="566"/>
      <c r="C5" s="566"/>
      <c r="D5" s="566"/>
      <c r="E5" s="566"/>
      <c r="F5" s="566"/>
      <c r="G5" s="566"/>
      <c r="H5" s="566"/>
      <c r="I5" s="566"/>
      <c r="J5" s="566"/>
      <c r="K5" s="566"/>
      <c r="L5" s="566"/>
      <c r="M5" s="566"/>
      <c r="N5" s="566"/>
      <c r="O5" s="566"/>
      <c r="P5" s="566"/>
      <c r="Q5" s="566"/>
      <c r="R5" s="566"/>
      <c r="S5" s="566"/>
      <c r="T5" s="566"/>
      <c r="U5" s="566"/>
      <c r="V5" s="566"/>
      <c r="W5" s="566"/>
      <c r="X5" s="567"/>
    </row>
    <row r="6" spans="1:36" ht="21" customHeight="1" x14ac:dyDescent="0.2">
      <c r="A6" s="568" t="s">
        <v>836</v>
      </c>
      <c r="B6" s="569"/>
      <c r="C6" s="569"/>
      <c r="D6" s="569"/>
      <c r="E6" s="569"/>
      <c r="F6" s="569"/>
      <c r="G6" s="569"/>
      <c r="H6" s="569"/>
      <c r="I6" s="569"/>
      <c r="J6" s="569"/>
      <c r="K6" s="569"/>
      <c r="L6" s="569"/>
      <c r="M6" s="569"/>
      <c r="N6" s="569"/>
      <c r="O6" s="569"/>
      <c r="P6" s="569"/>
      <c r="Q6" s="569"/>
      <c r="R6" s="569"/>
      <c r="S6" s="569"/>
      <c r="T6" s="569"/>
      <c r="U6" s="569"/>
      <c r="V6" s="569"/>
      <c r="W6" s="569"/>
      <c r="X6" s="570"/>
    </row>
    <row r="7" spans="1:36" s="199" customFormat="1" ht="15" customHeight="1" x14ac:dyDescent="0.25">
      <c r="A7" s="571" t="s">
        <v>45</v>
      </c>
      <c r="B7" s="572"/>
      <c r="C7" s="572"/>
      <c r="D7" s="572"/>
      <c r="E7" s="572"/>
      <c r="F7" s="572"/>
      <c r="G7" s="572"/>
      <c r="H7" s="572"/>
      <c r="I7" s="572"/>
      <c r="J7" s="195" t="s">
        <v>113</v>
      </c>
      <c r="K7" s="196" t="s">
        <v>114</v>
      </c>
      <c r="L7" s="196"/>
      <c r="M7" s="196"/>
      <c r="N7" s="196"/>
      <c r="O7" s="196"/>
      <c r="P7" s="196"/>
      <c r="Q7" s="196"/>
      <c r="R7" s="196"/>
      <c r="S7" s="196"/>
      <c r="T7" s="196"/>
      <c r="U7" s="196"/>
      <c r="V7" s="196"/>
      <c r="W7" s="196"/>
      <c r="X7" s="197"/>
      <c r="Y7" s="198"/>
      <c r="Z7" s="198"/>
      <c r="AA7" s="198"/>
      <c r="AB7" s="198"/>
      <c r="AC7" s="198"/>
      <c r="AD7" s="198"/>
      <c r="AE7" s="198"/>
      <c r="AF7" s="198"/>
      <c r="AG7" s="198"/>
      <c r="AH7" s="198"/>
      <c r="AI7" s="198"/>
      <c r="AJ7" s="198"/>
    </row>
    <row r="8" spans="1:36" s="199" customFormat="1" ht="15" customHeight="1" x14ac:dyDescent="0.25">
      <c r="A8" s="194" t="s">
        <v>115</v>
      </c>
      <c r="B8" s="195"/>
      <c r="C8" s="195"/>
      <c r="D8" s="195"/>
      <c r="E8" s="195"/>
      <c r="F8" s="195"/>
      <c r="G8" s="195"/>
      <c r="H8" s="195"/>
      <c r="I8" s="195"/>
      <c r="J8" s="195" t="s">
        <v>113</v>
      </c>
      <c r="K8" s="200" t="s">
        <v>632</v>
      </c>
      <c r="L8" s="200"/>
      <c r="T8" s="200"/>
      <c r="U8" s="200"/>
      <c r="V8" s="200"/>
      <c r="W8" s="200"/>
      <c r="X8" s="201"/>
      <c r="Y8" s="198"/>
      <c r="Z8" s="198"/>
      <c r="AA8" s="198"/>
      <c r="AB8" s="198"/>
      <c r="AC8" s="198"/>
      <c r="AD8" s="198"/>
      <c r="AE8" s="198"/>
      <c r="AF8" s="198"/>
      <c r="AG8" s="198"/>
      <c r="AH8" s="198"/>
      <c r="AI8" s="198"/>
      <c r="AJ8" s="198"/>
    </row>
    <row r="9" spans="1:36" s="199" customFormat="1" ht="15" customHeight="1" x14ac:dyDescent="0.25">
      <c r="A9" s="573" t="s">
        <v>116</v>
      </c>
      <c r="B9" s="574"/>
      <c r="C9" s="574"/>
      <c r="D9" s="574"/>
      <c r="E9" s="574"/>
      <c r="F9" s="574"/>
      <c r="G9" s="574"/>
      <c r="H9" s="574"/>
      <c r="I9" s="574"/>
      <c r="J9" s="203" t="s">
        <v>113</v>
      </c>
      <c r="K9" s="204" t="s">
        <v>633</v>
      </c>
      <c r="L9" s="196"/>
      <c r="M9" s="204"/>
      <c r="N9" s="204"/>
      <c r="O9" s="204"/>
      <c r="P9" s="204"/>
      <c r="Q9" s="204"/>
      <c r="R9" s="204"/>
      <c r="S9" s="204"/>
      <c r="T9" s="196"/>
      <c r="U9" s="196"/>
      <c r="V9" s="196"/>
      <c r="W9" s="196"/>
      <c r="X9" s="197"/>
      <c r="Y9" s="198"/>
      <c r="Z9" s="198"/>
      <c r="AA9" s="198"/>
      <c r="AB9" s="198"/>
      <c r="AC9" s="198"/>
      <c r="AD9" s="198"/>
      <c r="AE9" s="198"/>
      <c r="AF9" s="198"/>
      <c r="AG9" s="198"/>
      <c r="AH9" s="198"/>
      <c r="AI9" s="198"/>
      <c r="AJ9" s="198"/>
    </row>
    <row r="10" spans="1:36" s="199" customFormat="1" ht="14.25" customHeight="1" x14ac:dyDescent="0.25">
      <c r="A10" s="202" t="s">
        <v>117</v>
      </c>
      <c r="B10" s="203"/>
      <c r="C10" s="205"/>
      <c r="D10" s="205"/>
      <c r="E10" s="205"/>
      <c r="F10" s="205"/>
      <c r="G10" s="205"/>
      <c r="H10" s="205"/>
      <c r="I10" s="203"/>
      <c r="J10" s="195" t="s">
        <v>113</v>
      </c>
      <c r="K10" s="206" t="s">
        <v>616</v>
      </c>
      <c r="L10" s="196"/>
      <c r="M10" s="196"/>
      <c r="N10" s="196"/>
      <c r="O10" s="196"/>
      <c r="P10" s="196"/>
      <c r="Q10" s="196"/>
      <c r="R10" s="196"/>
      <c r="S10" s="196"/>
      <c r="T10" s="207"/>
      <c r="U10" s="196"/>
      <c r="V10" s="196"/>
      <c r="W10" s="196"/>
      <c r="X10" s="197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</row>
    <row r="11" spans="1:36" s="199" customFormat="1" ht="14.25" customHeight="1" x14ac:dyDescent="0.25">
      <c r="A11" s="208" t="s">
        <v>118</v>
      </c>
      <c r="B11" s="209"/>
      <c r="C11" s="210"/>
      <c r="D11" s="210"/>
      <c r="E11" s="210"/>
      <c r="F11" s="210"/>
      <c r="G11" s="210"/>
      <c r="H11" s="210"/>
      <c r="I11" s="209"/>
      <c r="J11" s="195" t="s">
        <v>119</v>
      </c>
      <c r="K11" s="206" t="s">
        <v>114</v>
      </c>
      <c r="L11" s="211"/>
      <c r="M11" s="211"/>
      <c r="N11" s="211"/>
      <c r="O11" s="211"/>
      <c r="P11" s="211"/>
      <c r="Q11" s="211"/>
      <c r="R11" s="211"/>
      <c r="S11" s="211"/>
      <c r="T11" s="212"/>
      <c r="U11" s="211"/>
      <c r="V11" s="211"/>
      <c r="W11" s="211"/>
      <c r="X11" s="213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</row>
    <row r="12" spans="1:36" s="199" customFormat="1" ht="15.75" x14ac:dyDescent="0.25">
      <c r="A12" s="208" t="s">
        <v>120</v>
      </c>
      <c r="B12" s="209"/>
      <c r="C12" s="210"/>
      <c r="D12" s="210"/>
      <c r="E12" s="210"/>
      <c r="F12" s="210"/>
      <c r="G12" s="210"/>
      <c r="H12" s="210"/>
      <c r="I12" s="209"/>
      <c r="J12" s="195" t="s">
        <v>113</v>
      </c>
      <c r="K12" s="214" t="s">
        <v>802</v>
      </c>
      <c r="L12" s="211"/>
      <c r="M12" s="211"/>
      <c r="N12" s="211"/>
      <c r="O12" s="211"/>
      <c r="P12" s="211"/>
      <c r="Q12" s="211"/>
      <c r="R12" s="211"/>
      <c r="S12" s="211"/>
      <c r="T12" s="212"/>
      <c r="U12" s="211"/>
      <c r="V12" s="211"/>
      <c r="W12" s="211"/>
      <c r="X12" s="213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</row>
    <row r="13" spans="1:36" s="199" customFormat="1" ht="18" customHeight="1" x14ac:dyDescent="0.25">
      <c r="A13" s="559" t="s">
        <v>121</v>
      </c>
      <c r="B13" s="560"/>
      <c r="C13" s="560"/>
      <c r="D13" s="560"/>
      <c r="E13" s="560"/>
      <c r="F13" s="560"/>
      <c r="G13" s="560"/>
      <c r="H13" s="560"/>
      <c r="I13" s="560"/>
      <c r="J13" s="560"/>
      <c r="K13" s="560"/>
      <c r="L13" s="560"/>
      <c r="M13" s="560"/>
      <c r="N13" s="560"/>
      <c r="O13" s="560"/>
      <c r="P13" s="560"/>
      <c r="Q13" s="560"/>
      <c r="R13" s="560"/>
      <c r="S13" s="560"/>
      <c r="T13" s="560"/>
      <c r="U13" s="560"/>
      <c r="V13" s="560"/>
      <c r="W13" s="560"/>
      <c r="X13" s="561"/>
    </row>
    <row r="14" spans="1:36" s="199" customFormat="1" ht="15.75" x14ac:dyDescent="0.25">
      <c r="A14" s="578" t="s">
        <v>122</v>
      </c>
      <c r="B14" s="579"/>
      <c r="C14" s="579"/>
      <c r="D14" s="579"/>
      <c r="E14" s="579"/>
      <c r="F14" s="579"/>
      <c r="G14" s="579"/>
      <c r="H14" s="579"/>
      <c r="I14" s="580"/>
      <c r="J14" s="581" t="s">
        <v>123</v>
      </c>
      <c r="K14" s="579"/>
      <c r="L14" s="579"/>
      <c r="M14" s="579"/>
      <c r="N14" s="579"/>
      <c r="O14" s="579"/>
      <c r="P14" s="579"/>
      <c r="Q14" s="579"/>
      <c r="R14" s="579"/>
      <c r="S14" s="579"/>
      <c r="T14" s="579"/>
      <c r="U14" s="579"/>
      <c r="V14" s="581" t="s">
        <v>124</v>
      </c>
      <c r="W14" s="579"/>
      <c r="X14" s="582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</row>
    <row r="15" spans="1:36" s="199" customFormat="1" ht="17.25" customHeight="1" x14ac:dyDescent="0.25">
      <c r="A15" s="573" t="s">
        <v>125</v>
      </c>
      <c r="B15" s="574"/>
      <c r="C15" s="574"/>
      <c r="D15" s="574"/>
      <c r="E15" s="574"/>
      <c r="F15" s="574"/>
      <c r="G15" s="574"/>
      <c r="H15" s="574"/>
      <c r="I15" s="583"/>
      <c r="J15" s="203" t="s">
        <v>119</v>
      </c>
      <c r="K15" s="200"/>
      <c r="L15" s="196"/>
      <c r="M15" s="196"/>
      <c r="N15" s="196"/>
      <c r="O15" s="196"/>
      <c r="P15" s="196"/>
      <c r="Q15" s="196"/>
      <c r="R15" s="196"/>
      <c r="S15" s="196"/>
      <c r="T15" s="207"/>
      <c r="U15" s="196"/>
      <c r="V15" s="215"/>
      <c r="W15" s="196"/>
      <c r="X15" s="197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</row>
    <row r="16" spans="1:36" s="199" customFormat="1" ht="15.75" customHeight="1" x14ac:dyDescent="0.25">
      <c r="A16" s="571" t="s">
        <v>126</v>
      </c>
      <c r="B16" s="572"/>
      <c r="C16" s="572"/>
      <c r="D16" s="572"/>
      <c r="E16" s="572"/>
      <c r="F16" s="572"/>
      <c r="G16" s="572"/>
      <c r="H16" s="572"/>
      <c r="I16" s="584"/>
      <c r="J16" s="216" t="s">
        <v>119</v>
      </c>
      <c r="K16" s="217" t="s">
        <v>127</v>
      </c>
      <c r="L16" s="217"/>
      <c r="M16" s="217"/>
      <c r="N16" s="217"/>
      <c r="O16" s="217"/>
      <c r="P16" s="217"/>
      <c r="Q16" s="217"/>
      <c r="R16" s="217"/>
      <c r="S16" s="217"/>
      <c r="T16" s="218"/>
      <c r="U16" s="217"/>
      <c r="V16" s="591"/>
      <c r="W16" s="592"/>
      <c r="X16" s="593"/>
      <c r="Y16" s="198"/>
      <c r="Z16" s="198"/>
      <c r="AA16" s="198"/>
      <c r="AB16" s="198"/>
      <c r="AC16" s="198"/>
      <c r="AD16" s="198"/>
      <c r="AE16" s="198"/>
      <c r="AF16" s="198"/>
      <c r="AG16" s="198"/>
      <c r="AH16" s="198"/>
      <c r="AI16" s="198"/>
      <c r="AJ16" s="198"/>
    </row>
    <row r="17" spans="1:51" s="199" customFormat="1" ht="15.75" customHeight="1" x14ac:dyDescent="0.25">
      <c r="A17" s="585"/>
      <c r="B17" s="586"/>
      <c r="C17" s="586"/>
      <c r="D17" s="586"/>
      <c r="E17" s="586"/>
      <c r="F17" s="586"/>
      <c r="G17" s="586"/>
      <c r="H17" s="586"/>
      <c r="I17" s="587"/>
      <c r="J17" s="222" t="s">
        <v>119</v>
      </c>
      <c r="K17" s="223" t="s">
        <v>128</v>
      </c>
      <c r="L17" s="223"/>
      <c r="M17" s="223"/>
      <c r="N17" s="223"/>
      <c r="O17" s="223"/>
      <c r="P17" s="223"/>
      <c r="Q17" s="223"/>
      <c r="R17" s="223"/>
      <c r="S17" s="223"/>
      <c r="T17" s="224"/>
      <c r="U17" s="223"/>
      <c r="V17" s="594"/>
      <c r="W17" s="595"/>
      <c r="X17" s="596"/>
      <c r="Y17" s="198"/>
      <c r="Z17" s="198"/>
      <c r="AA17" s="198"/>
      <c r="AB17" s="198"/>
      <c r="AC17" s="198"/>
      <c r="AD17" s="198"/>
      <c r="AE17" s="198"/>
      <c r="AF17" s="198"/>
      <c r="AG17" s="198"/>
      <c r="AH17" s="198"/>
      <c r="AI17" s="198"/>
      <c r="AJ17" s="198"/>
    </row>
    <row r="18" spans="1:51" s="199" customFormat="1" ht="13.5" customHeight="1" x14ac:dyDescent="0.25">
      <c r="A18" s="585"/>
      <c r="B18" s="586"/>
      <c r="C18" s="586"/>
      <c r="D18" s="586"/>
      <c r="E18" s="586"/>
      <c r="F18" s="586"/>
      <c r="G18" s="586"/>
      <c r="H18" s="586"/>
      <c r="I18" s="587"/>
      <c r="J18" s="222" t="s">
        <v>119</v>
      </c>
      <c r="K18" s="223" t="s">
        <v>129</v>
      </c>
      <c r="L18" s="223"/>
      <c r="M18" s="223"/>
      <c r="N18" s="223"/>
      <c r="O18" s="223"/>
      <c r="P18" s="223"/>
      <c r="Q18" s="223"/>
      <c r="R18" s="223"/>
      <c r="S18" s="223"/>
      <c r="T18" s="224"/>
      <c r="U18" s="223"/>
      <c r="V18" s="594"/>
      <c r="W18" s="595"/>
      <c r="X18" s="596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</row>
    <row r="19" spans="1:51" s="199" customFormat="1" ht="15.75" customHeight="1" x14ac:dyDescent="0.25">
      <c r="A19" s="588"/>
      <c r="B19" s="589"/>
      <c r="C19" s="589"/>
      <c r="D19" s="589"/>
      <c r="E19" s="589"/>
      <c r="F19" s="589"/>
      <c r="G19" s="589"/>
      <c r="H19" s="589"/>
      <c r="I19" s="590"/>
      <c r="J19" s="226" t="s">
        <v>119</v>
      </c>
      <c r="K19" s="211" t="s">
        <v>130</v>
      </c>
      <c r="L19" s="211"/>
      <c r="M19" s="211"/>
      <c r="N19" s="211"/>
      <c r="O19" s="211"/>
      <c r="P19" s="211"/>
      <c r="Q19" s="211"/>
      <c r="R19" s="211"/>
      <c r="S19" s="211"/>
      <c r="T19" s="212"/>
      <c r="U19" s="211"/>
      <c r="V19" s="597"/>
      <c r="W19" s="598"/>
      <c r="X19" s="599"/>
      <c r="Y19" s="198"/>
      <c r="Z19" s="198"/>
      <c r="AA19" s="198"/>
      <c r="AB19" s="198"/>
      <c r="AC19" s="198"/>
      <c r="AD19" s="198"/>
      <c r="AE19" s="198"/>
      <c r="AF19" s="198"/>
      <c r="AG19" s="198"/>
      <c r="AH19" s="198"/>
      <c r="AI19" s="198"/>
      <c r="AJ19" s="198"/>
    </row>
    <row r="20" spans="1:51" s="199" customFormat="1" ht="15.75" customHeight="1" x14ac:dyDescent="0.25">
      <c r="A20" s="585" t="s">
        <v>131</v>
      </c>
      <c r="B20" s="586"/>
      <c r="C20" s="586"/>
      <c r="D20" s="586"/>
      <c r="E20" s="586"/>
      <c r="F20" s="586"/>
      <c r="G20" s="586"/>
      <c r="H20" s="586"/>
      <c r="I20" s="587"/>
      <c r="J20" s="220" t="s">
        <v>119</v>
      </c>
      <c r="K20" s="200" t="s">
        <v>634</v>
      </c>
      <c r="L20" s="196"/>
      <c r="M20" s="196"/>
      <c r="N20" s="196"/>
      <c r="O20" s="196"/>
      <c r="P20" s="196"/>
      <c r="Q20" s="196"/>
      <c r="R20" s="196"/>
      <c r="S20" s="196"/>
      <c r="T20" s="207"/>
      <c r="U20" s="196"/>
      <c r="V20" s="575"/>
      <c r="W20" s="576"/>
      <c r="X20" s="577"/>
      <c r="Y20" s="198"/>
      <c r="Z20" s="198"/>
      <c r="AA20" s="198"/>
      <c r="AB20" s="198"/>
      <c r="AC20" s="198"/>
      <c r="AD20" s="198"/>
      <c r="AE20" s="198"/>
      <c r="AF20" s="198"/>
      <c r="AG20" s="198"/>
      <c r="AH20" s="198"/>
      <c r="AI20" s="198"/>
      <c r="AJ20" s="198"/>
    </row>
    <row r="21" spans="1:51" s="199" customFormat="1" ht="15.75" customHeight="1" x14ac:dyDescent="0.25">
      <c r="A21" s="219"/>
      <c r="B21" s="220"/>
      <c r="C21" s="220"/>
      <c r="D21" s="220"/>
      <c r="E21" s="220"/>
      <c r="F21" s="220"/>
      <c r="G21" s="220"/>
      <c r="H21" s="220"/>
      <c r="I21" s="221"/>
      <c r="J21" s="229"/>
      <c r="K21" s="200" t="s">
        <v>635</v>
      </c>
      <c r="L21" s="196"/>
      <c r="M21" s="196"/>
      <c r="N21" s="196"/>
      <c r="O21" s="196"/>
      <c r="P21" s="196"/>
      <c r="Q21" s="196"/>
      <c r="R21" s="196"/>
      <c r="S21" s="196"/>
      <c r="T21" s="207"/>
      <c r="U21" s="196"/>
      <c r="V21" s="575"/>
      <c r="W21" s="576"/>
      <c r="X21" s="577"/>
      <c r="Y21" s="198"/>
      <c r="Z21" s="198"/>
      <c r="AA21" s="198"/>
      <c r="AB21" s="198"/>
      <c r="AC21" s="198"/>
      <c r="AD21" s="198"/>
      <c r="AE21" s="198"/>
      <c r="AF21" s="198"/>
      <c r="AG21" s="198"/>
      <c r="AH21" s="198"/>
      <c r="AI21" s="198"/>
      <c r="AJ21" s="198"/>
    </row>
    <row r="22" spans="1:51" s="199" customFormat="1" ht="15.75" x14ac:dyDescent="0.25">
      <c r="A22" s="219"/>
      <c r="B22" s="220"/>
      <c r="C22" s="220"/>
      <c r="D22" s="220"/>
      <c r="E22" s="220"/>
      <c r="F22" s="220"/>
      <c r="G22" s="220"/>
      <c r="H22" s="220"/>
      <c r="I22" s="221"/>
      <c r="J22" s="229"/>
      <c r="K22" s="600" t="s">
        <v>636</v>
      </c>
      <c r="L22" s="600"/>
      <c r="M22" s="600"/>
      <c r="N22" s="600"/>
      <c r="O22" s="600"/>
      <c r="P22" s="600"/>
      <c r="Q22" s="600"/>
      <c r="R22" s="600"/>
      <c r="S22" s="600"/>
      <c r="T22" s="600"/>
      <c r="U22" s="601"/>
      <c r="V22" s="575"/>
      <c r="W22" s="576"/>
      <c r="X22" s="577"/>
      <c r="Y22" s="198"/>
      <c r="Z22" s="198"/>
      <c r="AA22" s="198"/>
      <c r="AB22" s="198"/>
      <c r="AC22" s="198"/>
      <c r="AD22" s="198"/>
      <c r="AE22" s="198"/>
      <c r="AF22" s="198"/>
      <c r="AG22" s="198"/>
      <c r="AH22" s="198"/>
      <c r="AI22" s="198"/>
      <c r="AJ22" s="198"/>
    </row>
    <row r="23" spans="1:51" s="199" customFormat="1" ht="15.75" customHeight="1" x14ac:dyDescent="0.25">
      <c r="A23" s="219"/>
      <c r="B23" s="220"/>
      <c r="C23" s="220"/>
      <c r="D23" s="220"/>
      <c r="E23" s="220"/>
      <c r="F23" s="220"/>
      <c r="G23" s="220"/>
      <c r="H23" s="220"/>
      <c r="I23" s="221"/>
      <c r="J23" s="229"/>
      <c r="K23" s="204"/>
      <c r="L23" s="211"/>
      <c r="M23" s="211"/>
      <c r="N23" s="211"/>
      <c r="O23" s="211"/>
      <c r="P23" s="211"/>
      <c r="Q23" s="211"/>
      <c r="R23" s="211"/>
      <c r="S23" s="211"/>
      <c r="T23" s="212"/>
      <c r="U23" s="211"/>
      <c r="V23" s="575"/>
      <c r="W23" s="576"/>
      <c r="X23" s="577"/>
      <c r="Y23" s="198"/>
      <c r="Z23" s="198"/>
      <c r="AA23" s="198"/>
      <c r="AB23" s="198"/>
      <c r="AC23" s="198"/>
      <c r="AD23" s="198"/>
      <c r="AE23" s="198"/>
      <c r="AF23" s="198"/>
      <c r="AG23" s="198"/>
      <c r="AH23" s="198"/>
      <c r="AI23" s="198"/>
      <c r="AJ23" s="198"/>
    </row>
    <row r="24" spans="1:51" s="199" customFormat="1" ht="16.5" customHeight="1" x14ac:dyDescent="0.25">
      <c r="A24" s="573" t="s">
        <v>132</v>
      </c>
      <c r="B24" s="574"/>
      <c r="C24" s="574"/>
      <c r="D24" s="574"/>
      <c r="E24" s="574"/>
      <c r="F24" s="574"/>
      <c r="G24" s="574"/>
      <c r="H24" s="574"/>
      <c r="I24" s="583"/>
      <c r="J24" s="203" t="s">
        <v>119</v>
      </c>
      <c r="K24" s="200"/>
      <c r="L24" s="196"/>
      <c r="M24" s="196"/>
      <c r="N24" s="196"/>
      <c r="O24" s="196"/>
      <c r="P24" s="196"/>
      <c r="Q24" s="196"/>
      <c r="R24" s="196"/>
      <c r="S24" s="196"/>
      <c r="T24" s="207"/>
      <c r="U24" s="196"/>
      <c r="V24" s="230"/>
      <c r="W24" s="196"/>
      <c r="X24" s="197"/>
      <c r="Y24" s="198"/>
      <c r="Z24" s="198"/>
      <c r="AA24" s="198"/>
      <c r="AB24" s="198"/>
      <c r="AC24" s="198"/>
      <c r="AD24" s="198"/>
      <c r="AE24" s="198"/>
      <c r="AF24" s="198"/>
      <c r="AG24" s="198"/>
      <c r="AH24" s="198"/>
      <c r="AI24" s="198"/>
      <c r="AJ24" s="198"/>
    </row>
    <row r="25" spans="1:51" s="199" customFormat="1" ht="16.5" customHeight="1" x14ac:dyDescent="0.25">
      <c r="A25" s="208"/>
      <c r="B25" s="209"/>
      <c r="C25" s="209"/>
      <c r="D25" s="209"/>
      <c r="E25" s="209"/>
      <c r="F25" s="209"/>
      <c r="G25" s="209"/>
      <c r="H25" s="209"/>
      <c r="I25" s="225"/>
      <c r="J25" s="209"/>
      <c r="K25" s="200"/>
      <c r="L25" s="211"/>
      <c r="M25" s="211"/>
      <c r="N25" s="211"/>
      <c r="O25" s="211"/>
      <c r="P25" s="211"/>
      <c r="Q25" s="211"/>
      <c r="R25" s="211"/>
      <c r="S25" s="211"/>
      <c r="T25" s="212"/>
      <c r="U25" s="211"/>
      <c r="V25" s="230"/>
      <c r="W25" s="211"/>
      <c r="X25" s="213"/>
      <c r="Y25" s="198"/>
      <c r="Z25" s="198"/>
      <c r="AA25" s="198"/>
      <c r="AB25" s="198"/>
      <c r="AC25" s="198"/>
      <c r="AD25" s="198"/>
      <c r="AE25" s="198"/>
      <c r="AF25" s="198"/>
      <c r="AG25" s="198"/>
      <c r="AH25" s="198"/>
      <c r="AI25" s="198"/>
      <c r="AJ25" s="198"/>
    </row>
    <row r="26" spans="1:51" s="199" customFormat="1" ht="16.5" customHeight="1" x14ac:dyDescent="0.25">
      <c r="A26" s="208"/>
      <c r="B26" s="209"/>
      <c r="C26" s="209"/>
      <c r="D26" s="209"/>
      <c r="E26" s="209"/>
      <c r="F26" s="209"/>
      <c r="G26" s="209"/>
      <c r="H26" s="209"/>
      <c r="I26" s="225"/>
      <c r="J26" s="209"/>
      <c r="K26" s="200"/>
      <c r="L26" s="211"/>
      <c r="M26" s="211"/>
      <c r="N26" s="211"/>
      <c r="O26" s="211"/>
      <c r="P26" s="211"/>
      <c r="Q26" s="211"/>
      <c r="R26" s="211"/>
      <c r="S26" s="211"/>
      <c r="T26" s="212"/>
      <c r="U26" s="211"/>
      <c r="V26" s="230"/>
      <c r="W26" s="211"/>
      <c r="X26" s="213"/>
      <c r="Y26" s="198"/>
      <c r="Z26" s="198"/>
      <c r="AA26" s="198"/>
      <c r="AB26" s="198"/>
      <c r="AC26" s="198"/>
      <c r="AD26" s="198"/>
      <c r="AE26" s="198"/>
      <c r="AF26" s="198"/>
      <c r="AG26" s="198"/>
      <c r="AH26" s="198"/>
      <c r="AI26" s="198"/>
      <c r="AJ26" s="198"/>
    </row>
    <row r="27" spans="1:51" s="199" customFormat="1" ht="16.5" customHeight="1" x14ac:dyDescent="0.25">
      <c r="A27" s="208"/>
      <c r="B27" s="209"/>
      <c r="C27" s="209"/>
      <c r="D27" s="209"/>
      <c r="E27" s="209"/>
      <c r="F27" s="209"/>
      <c r="G27" s="209"/>
      <c r="H27" s="209"/>
      <c r="I27" s="225"/>
      <c r="J27" s="209"/>
      <c r="K27" s="200"/>
      <c r="L27" s="211"/>
      <c r="M27" s="211"/>
      <c r="N27" s="211"/>
      <c r="O27" s="211"/>
      <c r="P27" s="211"/>
      <c r="Q27" s="211"/>
      <c r="R27" s="211"/>
      <c r="S27" s="211"/>
      <c r="T27" s="212"/>
      <c r="U27" s="211"/>
      <c r="V27" s="231"/>
      <c r="W27" s="211"/>
      <c r="X27" s="213"/>
      <c r="Y27" s="198"/>
      <c r="Z27" s="198"/>
      <c r="AA27" s="198"/>
      <c r="AB27" s="198"/>
      <c r="AC27" s="198"/>
      <c r="AD27" s="198"/>
      <c r="AE27" s="198"/>
      <c r="AF27" s="198"/>
      <c r="AG27" s="198"/>
      <c r="AH27" s="198"/>
      <c r="AI27" s="198"/>
      <c r="AJ27" s="198"/>
    </row>
    <row r="28" spans="1:51" s="199" customFormat="1" ht="18.75" customHeight="1" x14ac:dyDescent="0.25">
      <c r="A28" s="602" t="s">
        <v>133</v>
      </c>
      <c r="B28" s="603"/>
      <c r="C28" s="603"/>
      <c r="D28" s="603"/>
      <c r="E28" s="603"/>
      <c r="F28" s="603"/>
      <c r="G28" s="603"/>
      <c r="H28" s="603"/>
      <c r="I28" s="604"/>
      <c r="J28" s="209" t="s">
        <v>119</v>
      </c>
      <c r="K28" s="200"/>
      <c r="L28" s="211"/>
      <c r="M28" s="211"/>
      <c r="N28" s="211"/>
      <c r="O28" s="211"/>
      <c r="P28" s="211"/>
      <c r="Q28" s="211"/>
      <c r="R28" s="211"/>
      <c r="S28" s="211"/>
      <c r="T28" s="212"/>
      <c r="U28" s="211"/>
      <c r="V28" s="200"/>
      <c r="W28" s="232"/>
      <c r="X28" s="233"/>
      <c r="Y28" s="198"/>
      <c r="Z28" s="198"/>
      <c r="AA28" s="198"/>
      <c r="AB28" s="198"/>
      <c r="AC28" s="198"/>
      <c r="AD28" s="198"/>
      <c r="AE28" s="198"/>
      <c r="AF28" s="198"/>
      <c r="AG28" s="198"/>
      <c r="AH28" s="198"/>
      <c r="AI28" s="198"/>
      <c r="AJ28" s="198"/>
    </row>
    <row r="29" spans="1:51" s="199" customFormat="1" ht="15.75" x14ac:dyDescent="0.25">
      <c r="A29" s="605" t="s">
        <v>134</v>
      </c>
      <c r="B29" s="606"/>
      <c r="C29" s="606"/>
      <c r="D29" s="606"/>
      <c r="E29" s="606"/>
      <c r="F29" s="606"/>
      <c r="G29" s="606"/>
      <c r="H29" s="606"/>
      <c r="I29" s="606"/>
      <c r="J29" s="606"/>
      <c r="K29" s="606"/>
      <c r="L29" s="606"/>
      <c r="M29" s="606"/>
      <c r="N29" s="606"/>
      <c r="O29" s="606"/>
      <c r="P29" s="606"/>
      <c r="Q29" s="606"/>
      <c r="R29" s="606"/>
      <c r="S29" s="606"/>
      <c r="T29" s="606"/>
      <c r="U29" s="606"/>
      <c r="V29" s="606"/>
      <c r="W29" s="606"/>
      <c r="X29" s="607"/>
    </row>
    <row r="30" spans="1:51" s="199" customFormat="1" ht="16.5" thickBot="1" x14ac:dyDescent="0.3">
      <c r="A30" s="608" t="s">
        <v>135</v>
      </c>
      <c r="B30" s="609"/>
      <c r="C30" s="609"/>
      <c r="D30" s="609"/>
      <c r="E30" s="609"/>
      <c r="F30" s="609"/>
      <c r="G30" s="609"/>
      <c r="H30" s="609"/>
      <c r="I30" s="609"/>
      <c r="J30" s="609"/>
      <c r="K30" s="609"/>
      <c r="L30" s="609"/>
      <c r="M30" s="609"/>
      <c r="N30" s="609"/>
      <c r="O30" s="609"/>
      <c r="P30" s="609"/>
      <c r="Q30" s="609"/>
      <c r="R30" s="609"/>
      <c r="S30" s="609"/>
      <c r="T30" s="609"/>
      <c r="U30" s="609"/>
      <c r="V30" s="609"/>
      <c r="W30" s="609"/>
      <c r="X30" s="610"/>
    </row>
    <row r="31" spans="1:51" s="199" customFormat="1" ht="10.5" customHeight="1" x14ac:dyDescent="0.25">
      <c r="A31" s="611" t="s">
        <v>136</v>
      </c>
      <c r="B31" s="612"/>
      <c r="C31" s="612"/>
      <c r="D31" s="612"/>
      <c r="E31" s="612"/>
      <c r="F31" s="612"/>
      <c r="G31" s="612"/>
      <c r="H31" s="613"/>
      <c r="I31" s="620" t="s">
        <v>137</v>
      </c>
      <c r="J31" s="612"/>
      <c r="K31" s="613"/>
      <c r="L31" s="620" t="s">
        <v>138</v>
      </c>
      <c r="M31" s="612"/>
      <c r="N31" s="612"/>
      <c r="O31" s="612"/>
      <c r="P31" s="612"/>
      <c r="Q31" s="612"/>
      <c r="R31" s="612"/>
      <c r="S31" s="612"/>
      <c r="T31" s="612"/>
      <c r="U31" s="612"/>
      <c r="V31" s="613"/>
      <c r="W31" s="623" t="s">
        <v>139</v>
      </c>
      <c r="X31" s="625" t="s">
        <v>140</v>
      </c>
      <c r="Y31" s="636" t="s">
        <v>567</v>
      </c>
      <c r="Z31" s="636"/>
      <c r="AA31" s="636"/>
      <c r="AB31" s="636"/>
      <c r="AC31" s="636"/>
      <c r="AD31" s="636"/>
      <c r="AE31" s="636"/>
      <c r="AF31" s="636"/>
      <c r="AG31" s="636"/>
      <c r="AH31" s="636"/>
      <c r="AI31" s="636"/>
      <c r="AJ31" s="637"/>
      <c r="AK31" s="642" t="s">
        <v>139</v>
      </c>
      <c r="AL31" s="645" t="s">
        <v>568</v>
      </c>
      <c r="AM31" s="636"/>
      <c r="AN31" s="636"/>
      <c r="AO31" s="636"/>
      <c r="AP31" s="636"/>
      <c r="AQ31" s="636"/>
      <c r="AR31" s="636"/>
      <c r="AS31" s="636"/>
      <c r="AT31" s="636"/>
      <c r="AU31" s="636"/>
      <c r="AV31" s="636"/>
      <c r="AW31" s="637"/>
      <c r="AX31" s="642" t="s">
        <v>139</v>
      </c>
      <c r="AY31" s="648" t="s">
        <v>141</v>
      </c>
    </row>
    <row r="32" spans="1:51" s="199" customFormat="1" ht="6.75" customHeight="1" x14ac:dyDescent="0.25">
      <c r="A32" s="614"/>
      <c r="B32" s="615"/>
      <c r="C32" s="615"/>
      <c r="D32" s="615"/>
      <c r="E32" s="615"/>
      <c r="F32" s="615"/>
      <c r="G32" s="615"/>
      <c r="H32" s="616"/>
      <c r="I32" s="621"/>
      <c r="J32" s="615"/>
      <c r="K32" s="616"/>
      <c r="L32" s="621"/>
      <c r="M32" s="615"/>
      <c r="N32" s="615"/>
      <c r="O32" s="615"/>
      <c r="P32" s="615"/>
      <c r="Q32" s="615"/>
      <c r="R32" s="615"/>
      <c r="S32" s="615"/>
      <c r="T32" s="615"/>
      <c r="U32" s="615"/>
      <c r="V32" s="616"/>
      <c r="W32" s="624"/>
      <c r="X32" s="626"/>
      <c r="Y32" s="638"/>
      <c r="Z32" s="638"/>
      <c r="AA32" s="638"/>
      <c r="AB32" s="638"/>
      <c r="AC32" s="638"/>
      <c r="AD32" s="638"/>
      <c r="AE32" s="638"/>
      <c r="AF32" s="638"/>
      <c r="AG32" s="638"/>
      <c r="AH32" s="638"/>
      <c r="AI32" s="638"/>
      <c r="AJ32" s="639"/>
      <c r="AK32" s="643"/>
      <c r="AL32" s="646"/>
      <c r="AM32" s="638"/>
      <c r="AN32" s="638"/>
      <c r="AO32" s="638"/>
      <c r="AP32" s="638"/>
      <c r="AQ32" s="638"/>
      <c r="AR32" s="638"/>
      <c r="AS32" s="638"/>
      <c r="AT32" s="638"/>
      <c r="AU32" s="638"/>
      <c r="AV32" s="638"/>
      <c r="AW32" s="639"/>
      <c r="AX32" s="643"/>
      <c r="AY32" s="649"/>
    </row>
    <row r="33" spans="1:51" s="199" customFormat="1" ht="10.5" customHeight="1" thickBot="1" x14ac:dyDescent="0.3">
      <c r="A33" s="614"/>
      <c r="B33" s="615"/>
      <c r="C33" s="615"/>
      <c r="D33" s="615"/>
      <c r="E33" s="615"/>
      <c r="F33" s="615"/>
      <c r="G33" s="615"/>
      <c r="H33" s="616"/>
      <c r="I33" s="621"/>
      <c r="J33" s="615"/>
      <c r="K33" s="616"/>
      <c r="L33" s="628" t="s">
        <v>79</v>
      </c>
      <c r="M33" s="629"/>
      <c r="N33" s="629"/>
      <c r="O33" s="629"/>
      <c r="P33" s="629"/>
      <c r="Q33" s="629"/>
      <c r="R33" s="629"/>
      <c r="S33" s="630"/>
      <c r="T33" s="631" t="s">
        <v>80</v>
      </c>
      <c r="U33" s="631" t="s">
        <v>81</v>
      </c>
      <c r="V33" s="631" t="s">
        <v>82</v>
      </c>
      <c r="W33" s="624"/>
      <c r="X33" s="626"/>
      <c r="Y33" s="640"/>
      <c r="Z33" s="640"/>
      <c r="AA33" s="640"/>
      <c r="AB33" s="640"/>
      <c r="AC33" s="640"/>
      <c r="AD33" s="640"/>
      <c r="AE33" s="640"/>
      <c r="AF33" s="640"/>
      <c r="AG33" s="640"/>
      <c r="AH33" s="640"/>
      <c r="AI33" s="640"/>
      <c r="AJ33" s="641"/>
      <c r="AK33" s="643"/>
      <c r="AL33" s="647"/>
      <c r="AM33" s="640"/>
      <c r="AN33" s="640"/>
      <c r="AO33" s="640"/>
      <c r="AP33" s="640"/>
      <c r="AQ33" s="640"/>
      <c r="AR33" s="640"/>
      <c r="AS33" s="640"/>
      <c r="AT33" s="640"/>
      <c r="AU33" s="640"/>
      <c r="AV33" s="640"/>
      <c r="AW33" s="641"/>
      <c r="AX33" s="643"/>
      <c r="AY33" s="649"/>
    </row>
    <row r="34" spans="1:51" s="199" customFormat="1" ht="8.25" customHeight="1" thickBot="1" x14ac:dyDescent="0.3">
      <c r="A34" s="614"/>
      <c r="B34" s="615"/>
      <c r="C34" s="615"/>
      <c r="D34" s="615"/>
      <c r="E34" s="615"/>
      <c r="F34" s="615"/>
      <c r="G34" s="615"/>
      <c r="H34" s="616"/>
      <c r="I34" s="621"/>
      <c r="J34" s="615"/>
      <c r="K34" s="616"/>
      <c r="L34" s="621"/>
      <c r="M34" s="615"/>
      <c r="N34" s="615"/>
      <c r="O34" s="615"/>
      <c r="P34" s="615"/>
      <c r="Q34" s="615"/>
      <c r="R34" s="615"/>
      <c r="S34" s="616"/>
      <c r="T34" s="632"/>
      <c r="U34" s="632"/>
      <c r="V34" s="632"/>
      <c r="W34" s="634" t="s">
        <v>142</v>
      </c>
      <c r="X34" s="626"/>
      <c r="Y34" s="653" t="s">
        <v>50</v>
      </c>
      <c r="Z34" s="655" t="s">
        <v>53</v>
      </c>
      <c r="AA34" s="655" t="s">
        <v>55</v>
      </c>
      <c r="AB34" s="655" t="s">
        <v>57</v>
      </c>
      <c r="AC34" s="657" t="s">
        <v>59</v>
      </c>
      <c r="AD34" s="657" t="s">
        <v>61</v>
      </c>
      <c r="AE34" s="657" t="s">
        <v>101</v>
      </c>
      <c r="AF34" s="657" t="s">
        <v>107</v>
      </c>
      <c r="AG34" s="651" t="s">
        <v>143</v>
      </c>
      <c r="AH34" s="651" t="s">
        <v>144</v>
      </c>
      <c r="AI34" s="651" t="s">
        <v>145</v>
      </c>
      <c r="AJ34" s="651" t="s">
        <v>146</v>
      </c>
      <c r="AK34" s="643"/>
      <c r="AL34" s="655" t="s">
        <v>50</v>
      </c>
      <c r="AM34" s="655" t="s">
        <v>53</v>
      </c>
      <c r="AN34" s="655" t="s">
        <v>55</v>
      </c>
      <c r="AO34" s="655" t="s">
        <v>57</v>
      </c>
      <c r="AP34" s="657" t="s">
        <v>59</v>
      </c>
      <c r="AQ34" s="657" t="s">
        <v>61</v>
      </c>
      <c r="AR34" s="657" t="s">
        <v>101</v>
      </c>
      <c r="AS34" s="657" t="s">
        <v>107</v>
      </c>
      <c r="AT34" s="651" t="s">
        <v>143</v>
      </c>
      <c r="AU34" s="651" t="s">
        <v>144</v>
      </c>
      <c r="AV34" s="651" t="s">
        <v>145</v>
      </c>
      <c r="AW34" s="651" t="s">
        <v>146</v>
      </c>
      <c r="AX34" s="643"/>
      <c r="AY34" s="649"/>
    </row>
    <row r="35" spans="1:51" s="199" customFormat="1" ht="12.75" customHeight="1" thickBot="1" x14ac:dyDescent="0.3">
      <c r="A35" s="617"/>
      <c r="B35" s="618"/>
      <c r="C35" s="618"/>
      <c r="D35" s="618"/>
      <c r="E35" s="618"/>
      <c r="F35" s="618"/>
      <c r="G35" s="618"/>
      <c r="H35" s="619"/>
      <c r="I35" s="622"/>
      <c r="J35" s="618"/>
      <c r="K35" s="619"/>
      <c r="L35" s="622"/>
      <c r="M35" s="618"/>
      <c r="N35" s="618"/>
      <c r="O35" s="618"/>
      <c r="P35" s="618"/>
      <c r="Q35" s="618"/>
      <c r="R35" s="618"/>
      <c r="S35" s="619"/>
      <c r="T35" s="633"/>
      <c r="U35" s="633"/>
      <c r="V35" s="633"/>
      <c r="W35" s="635"/>
      <c r="X35" s="627"/>
      <c r="Y35" s="654"/>
      <c r="Z35" s="656"/>
      <c r="AA35" s="656"/>
      <c r="AB35" s="656"/>
      <c r="AC35" s="658"/>
      <c r="AD35" s="658"/>
      <c r="AE35" s="658"/>
      <c r="AF35" s="658"/>
      <c r="AG35" s="652"/>
      <c r="AH35" s="652"/>
      <c r="AI35" s="652"/>
      <c r="AJ35" s="652"/>
      <c r="AK35" s="644"/>
      <c r="AL35" s="656"/>
      <c r="AM35" s="656"/>
      <c r="AN35" s="656"/>
      <c r="AO35" s="656"/>
      <c r="AP35" s="658"/>
      <c r="AQ35" s="658"/>
      <c r="AR35" s="658"/>
      <c r="AS35" s="658"/>
      <c r="AT35" s="652"/>
      <c r="AU35" s="652"/>
      <c r="AV35" s="652"/>
      <c r="AW35" s="652"/>
      <c r="AX35" s="644"/>
      <c r="AY35" s="650"/>
    </row>
    <row r="36" spans="1:51" s="199" customFormat="1" ht="15.75" x14ac:dyDescent="0.25">
      <c r="A36" s="661">
        <v>1</v>
      </c>
      <c r="B36" s="662"/>
      <c r="C36" s="662"/>
      <c r="D36" s="662"/>
      <c r="E36" s="662"/>
      <c r="F36" s="662"/>
      <c r="G36" s="662"/>
      <c r="H36" s="663"/>
      <c r="I36" s="664">
        <v>2</v>
      </c>
      <c r="J36" s="665"/>
      <c r="K36" s="666"/>
      <c r="L36" s="664">
        <v>3</v>
      </c>
      <c r="M36" s="665"/>
      <c r="N36" s="665"/>
      <c r="O36" s="665"/>
      <c r="P36" s="665"/>
      <c r="Q36" s="665"/>
      <c r="R36" s="665"/>
      <c r="S36" s="665"/>
      <c r="T36" s="234">
        <v>4</v>
      </c>
      <c r="U36" s="235">
        <v>5</v>
      </c>
      <c r="V36" s="236">
        <v>6</v>
      </c>
      <c r="W36" s="237" t="s">
        <v>147</v>
      </c>
      <c r="X36" s="237">
        <v>8</v>
      </c>
      <c r="Y36" s="238"/>
      <c r="Z36" s="239"/>
      <c r="AA36" s="239"/>
      <c r="AB36" s="239"/>
      <c r="AC36" s="240"/>
      <c r="AD36" s="240"/>
      <c r="AE36" s="240"/>
      <c r="AF36" s="240"/>
      <c r="AG36" s="241"/>
      <c r="AH36" s="241"/>
      <c r="AI36" s="241"/>
      <c r="AJ36" s="242"/>
      <c r="AK36" s="243"/>
      <c r="AL36" s="244"/>
      <c r="AM36" s="239"/>
      <c r="AN36" s="239"/>
      <c r="AO36" s="239"/>
      <c r="AP36" s="240"/>
      <c r="AQ36" s="240"/>
      <c r="AR36" s="240"/>
      <c r="AS36" s="240"/>
      <c r="AT36" s="241"/>
      <c r="AU36" s="241"/>
      <c r="AV36" s="241"/>
      <c r="AW36" s="242"/>
      <c r="AX36" s="243"/>
      <c r="AY36" s="245"/>
    </row>
    <row r="37" spans="1:51" s="268" customFormat="1" ht="15" customHeight="1" x14ac:dyDescent="0.25">
      <c r="A37" s="246"/>
      <c r="B37" s="247" t="s">
        <v>59</v>
      </c>
      <c r="C37" s="247"/>
      <c r="D37" s="247"/>
      <c r="E37" s="247"/>
      <c r="F37" s="247"/>
      <c r="G37" s="247"/>
      <c r="H37" s="248"/>
      <c r="I37" s="249"/>
      <c r="J37" s="250" t="s">
        <v>148</v>
      </c>
      <c r="K37" s="251"/>
      <c r="L37" s="252"/>
      <c r="M37" s="253"/>
      <c r="N37" s="253"/>
      <c r="O37" s="253"/>
      <c r="P37" s="253"/>
      <c r="Q37" s="253"/>
      <c r="R37" s="253"/>
      <c r="S37" s="253"/>
      <c r="T37" s="254"/>
      <c r="U37" s="254"/>
      <c r="V37" s="255"/>
      <c r="W37" s="256">
        <f t="shared" ref="W37:W38" si="0">W38</f>
        <v>13722800</v>
      </c>
      <c r="X37" s="257"/>
      <c r="Y37" s="258"/>
      <c r="Z37" s="259"/>
      <c r="AA37" s="260"/>
      <c r="AB37" s="261"/>
      <c r="AC37" s="262"/>
      <c r="AD37" s="262"/>
      <c r="AE37" s="262"/>
      <c r="AF37" s="262"/>
      <c r="AG37" s="263"/>
      <c r="AH37" s="263"/>
      <c r="AI37" s="263"/>
      <c r="AJ37" s="264"/>
      <c r="AK37" s="265"/>
      <c r="AL37" s="266"/>
      <c r="AM37" s="259"/>
      <c r="AN37" s="260"/>
      <c r="AO37" s="261"/>
      <c r="AP37" s="262"/>
      <c r="AQ37" s="262"/>
      <c r="AR37" s="262"/>
      <c r="AS37" s="262"/>
      <c r="AT37" s="263"/>
      <c r="AU37" s="263"/>
      <c r="AV37" s="263"/>
      <c r="AW37" s="264"/>
      <c r="AX37" s="265"/>
      <c r="AY37" s="267"/>
    </row>
    <row r="38" spans="1:51" s="268" customFormat="1" ht="15" customHeight="1" x14ac:dyDescent="0.25">
      <c r="A38" s="269"/>
      <c r="B38" s="270" t="s">
        <v>59</v>
      </c>
      <c r="C38" s="334" t="s">
        <v>50</v>
      </c>
      <c r="D38" s="271"/>
      <c r="E38" s="271"/>
      <c r="F38" s="272"/>
      <c r="G38" s="270"/>
      <c r="H38" s="273"/>
      <c r="I38" s="274"/>
      <c r="J38" s="275" t="s">
        <v>149</v>
      </c>
      <c r="K38" s="276"/>
      <c r="L38" s="277"/>
      <c r="M38" s="278"/>
      <c r="N38" s="278"/>
      <c r="O38" s="278"/>
      <c r="P38" s="278"/>
      <c r="Q38" s="278"/>
      <c r="R38" s="278"/>
      <c r="S38" s="278"/>
      <c r="T38" s="279"/>
      <c r="U38" s="279"/>
      <c r="V38" s="280"/>
      <c r="W38" s="281">
        <f t="shared" si="0"/>
        <v>13722800</v>
      </c>
      <c r="X38" s="257"/>
      <c r="Y38" s="258"/>
      <c r="Z38" s="259"/>
      <c r="AA38" s="261"/>
      <c r="AB38" s="261"/>
      <c r="AC38" s="262"/>
      <c r="AD38" s="262"/>
      <c r="AE38" s="262"/>
      <c r="AF38" s="262"/>
      <c r="AG38" s="263"/>
      <c r="AH38" s="263"/>
      <c r="AI38" s="263"/>
      <c r="AJ38" s="264"/>
      <c r="AK38" s="265"/>
      <c r="AL38" s="266"/>
      <c r="AM38" s="259"/>
      <c r="AN38" s="261"/>
      <c r="AO38" s="261"/>
      <c r="AP38" s="262"/>
      <c r="AQ38" s="262"/>
      <c r="AR38" s="262"/>
      <c r="AS38" s="262"/>
      <c r="AT38" s="263"/>
      <c r="AU38" s="263"/>
      <c r="AV38" s="263"/>
      <c r="AW38" s="264"/>
      <c r="AX38" s="265"/>
      <c r="AY38" s="267"/>
    </row>
    <row r="39" spans="1:51" s="268" customFormat="1" ht="15" customHeight="1" x14ac:dyDescent="0.25">
      <c r="A39" s="269"/>
      <c r="B39" s="270" t="s">
        <v>59</v>
      </c>
      <c r="C39" s="334" t="s">
        <v>50</v>
      </c>
      <c r="D39" s="288" t="s">
        <v>67</v>
      </c>
      <c r="E39" s="271"/>
      <c r="F39" s="271"/>
      <c r="G39" s="270"/>
      <c r="H39" s="273"/>
      <c r="I39" s="282"/>
      <c r="J39" s="283" t="s">
        <v>150</v>
      </c>
      <c r="K39" s="284"/>
      <c r="L39" s="285"/>
      <c r="M39" s="286"/>
      <c r="N39" s="286"/>
      <c r="O39" s="286"/>
      <c r="P39" s="286"/>
      <c r="Q39" s="286"/>
      <c r="R39" s="286"/>
      <c r="S39" s="286"/>
      <c r="T39" s="279"/>
      <c r="U39" s="279"/>
      <c r="V39" s="280"/>
      <c r="W39" s="281">
        <f>W40</f>
        <v>13722800</v>
      </c>
      <c r="X39" s="287"/>
      <c r="Y39" s="258"/>
      <c r="Z39" s="259"/>
      <c r="AA39" s="261"/>
      <c r="AB39" s="261"/>
      <c r="AC39" s="262"/>
      <c r="AD39" s="262"/>
      <c r="AE39" s="262"/>
      <c r="AF39" s="262"/>
      <c r="AG39" s="263"/>
      <c r="AH39" s="263"/>
      <c r="AI39" s="263"/>
      <c r="AJ39" s="264"/>
      <c r="AK39" s="265"/>
      <c r="AL39" s="266"/>
      <c r="AM39" s="259"/>
      <c r="AN39" s="261"/>
      <c r="AO39" s="261"/>
      <c r="AP39" s="262"/>
      <c r="AQ39" s="262"/>
      <c r="AR39" s="262"/>
      <c r="AS39" s="262"/>
      <c r="AT39" s="263"/>
      <c r="AU39" s="263"/>
      <c r="AV39" s="263"/>
      <c r="AW39" s="264"/>
      <c r="AX39" s="265"/>
      <c r="AY39" s="267"/>
    </row>
    <row r="40" spans="1:51" s="305" customFormat="1" ht="15" customHeight="1" x14ac:dyDescent="0.25">
      <c r="A40" s="269"/>
      <c r="B40" s="270" t="s">
        <v>59</v>
      </c>
      <c r="C40" s="270" t="s">
        <v>50</v>
      </c>
      <c r="D40" s="288" t="s">
        <v>67</v>
      </c>
      <c r="E40" s="288" t="s">
        <v>67</v>
      </c>
      <c r="F40" s="271"/>
      <c r="G40" s="270"/>
      <c r="H40" s="273"/>
      <c r="I40" s="289"/>
      <c r="J40" s="275" t="s">
        <v>153</v>
      </c>
      <c r="K40" s="290"/>
      <c r="L40" s="291"/>
      <c r="M40" s="292"/>
      <c r="N40" s="292"/>
      <c r="O40" s="292"/>
      <c r="P40" s="292"/>
      <c r="Q40" s="292"/>
      <c r="R40" s="292"/>
      <c r="S40" s="292"/>
      <c r="T40" s="293"/>
      <c r="U40" s="293"/>
      <c r="V40" s="294"/>
      <c r="W40" s="295">
        <f>W41</f>
        <v>13722800</v>
      </c>
      <c r="X40" s="296"/>
      <c r="Y40" s="297"/>
      <c r="Z40" s="259"/>
      <c r="AA40" s="298"/>
      <c r="AB40" s="298"/>
      <c r="AC40" s="299"/>
      <c r="AD40" s="299"/>
      <c r="AE40" s="299"/>
      <c r="AF40" s="299"/>
      <c r="AG40" s="300"/>
      <c r="AH40" s="300"/>
      <c r="AI40" s="300"/>
      <c r="AJ40" s="301"/>
      <c r="AK40" s="302"/>
      <c r="AL40" s="303"/>
      <c r="AM40" s="259"/>
      <c r="AN40" s="298"/>
      <c r="AO40" s="298"/>
      <c r="AP40" s="299"/>
      <c r="AQ40" s="299"/>
      <c r="AR40" s="299"/>
      <c r="AS40" s="299"/>
      <c r="AT40" s="300"/>
      <c r="AU40" s="300"/>
      <c r="AV40" s="300"/>
      <c r="AW40" s="301"/>
      <c r="AX40" s="302"/>
      <c r="AY40" s="304"/>
    </row>
    <row r="41" spans="1:51" s="305" customFormat="1" ht="15" customHeight="1" x14ac:dyDescent="0.25">
      <c r="A41" s="269"/>
      <c r="B41" s="270" t="s">
        <v>59</v>
      </c>
      <c r="C41" s="270" t="s">
        <v>50</v>
      </c>
      <c r="D41" s="288" t="s">
        <v>67</v>
      </c>
      <c r="E41" s="288" t="s">
        <v>67</v>
      </c>
      <c r="F41" s="271" t="s">
        <v>65</v>
      </c>
      <c r="G41" s="270"/>
      <c r="H41" s="273"/>
      <c r="I41" s="289"/>
      <c r="J41" s="275" t="s">
        <v>154</v>
      </c>
      <c r="K41" s="290"/>
      <c r="L41" s="291"/>
      <c r="M41" s="292"/>
      <c r="N41" s="292"/>
      <c r="O41" s="292"/>
      <c r="P41" s="292"/>
      <c r="Q41" s="292"/>
      <c r="R41" s="292"/>
      <c r="S41" s="292"/>
      <c r="T41" s="293"/>
      <c r="U41" s="293"/>
      <c r="V41" s="294"/>
      <c r="W41" s="295">
        <f>W42+W45+W48</f>
        <v>13722800</v>
      </c>
      <c r="X41" s="296"/>
      <c r="Y41" s="297"/>
      <c r="Z41" s="259"/>
      <c r="AA41" s="298"/>
      <c r="AB41" s="298"/>
      <c r="AC41" s="299"/>
      <c r="AD41" s="299"/>
      <c r="AE41" s="299"/>
      <c r="AF41" s="299"/>
      <c r="AG41" s="300"/>
      <c r="AH41" s="300"/>
      <c r="AI41" s="300"/>
      <c r="AJ41" s="301"/>
      <c r="AK41" s="302"/>
      <c r="AL41" s="303"/>
      <c r="AM41" s="259"/>
      <c r="AN41" s="298"/>
      <c r="AO41" s="298"/>
      <c r="AP41" s="299"/>
      <c r="AQ41" s="299"/>
      <c r="AR41" s="299"/>
      <c r="AS41" s="299"/>
      <c r="AT41" s="300"/>
      <c r="AU41" s="300"/>
      <c r="AV41" s="300"/>
      <c r="AW41" s="301"/>
      <c r="AX41" s="302"/>
      <c r="AY41" s="304"/>
    </row>
    <row r="42" spans="1:51" s="330" customFormat="1" ht="15" customHeight="1" x14ac:dyDescent="0.25">
      <c r="A42" s="306"/>
      <c r="B42" s="307" t="s">
        <v>59</v>
      </c>
      <c r="C42" s="307" t="s">
        <v>50</v>
      </c>
      <c r="D42" s="309" t="s">
        <v>67</v>
      </c>
      <c r="E42" s="309" t="s">
        <v>67</v>
      </c>
      <c r="F42" s="308" t="s">
        <v>65</v>
      </c>
      <c r="G42" s="310" t="s">
        <v>638</v>
      </c>
      <c r="H42" s="311"/>
      <c r="I42" s="312"/>
      <c r="J42" s="313" t="s">
        <v>639</v>
      </c>
      <c r="K42" s="314"/>
      <c r="L42" s="315"/>
      <c r="M42" s="316"/>
      <c r="N42" s="316"/>
      <c r="O42" s="316"/>
      <c r="P42" s="316"/>
      <c r="Q42" s="316"/>
      <c r="R42" s="316"/>
      <c r="S42" s="316"/>
      <c r="T42" s="317"/>
      <c r="U42" s="317"/>
      <c r="V42" s="318"/>
      <c r="W42" s="319">
        <f>W43</f>
        <v>7222800</v>
      </c>
      <c r="X42" s="320"/>
      <c r="Y42" s="321"/>
      <c r="Z42" s="322"/>
      <c r="AA42" s="323"/>
      <c r="AB42" s="323"/>
      <c r="AC42" s="324"/>
      <c r="AD42" s="324"/>
      <c r="AE42" s="324"/>
      <c r="AF42" s="324"/>
      <c r="AG42" s="325"/>
      <c r="AH42" s="325"/>
      <c r="AI42" s="325"/>
      <c r="AJ42" s="326"/>
      <c r="AK42" s="327"/>
      <c r="AL42" s="328"/>
      <c r="AM42" s="322"/>
      <c r="AN42" s="323"/>
      <c r="AO42" s="323"/>
      <c r="AP42" s="324"/>
      <c r="AQ42" s="324"/>
      <c r="AR42" s="324"/>
      <c r="AS42" s="324"/>
      <c r="AT42" s="325"/>
      <c r="AU42" s="325"/>
      <c r="AV42" s="325"/>
      <c r="AW42" s="326"/>
      <c r="AX42" s="327"/>
      <c r="AY42" s="329"/>
    </row>
    <row r="43" spans="1:51" s="330" customFormat="1" ht="15" customHeight="1" x14ac:dyDescent="0.25">
      <c r="A43" s="306"/>
      <c r="B43" s="307"/>
      <c r="C43" s="307"/>
      <c r="D43" s="308"/>
      <c r="E43" s="308"/>
      <c r="F43" s="308"/>
      <c r="G43" s="307"/>
      <c r="H43" s="311"/>
      <c r="I43" s="312"/>
      <c r="J43" s="331" t="s">
        <v>640</v>
      </c>
      <c r="K43" s="314"/>
      <c r="L43" s="315"/>
      <c r="M43" s="316"/>
      <c r="N43" s="316"/>
      <c r="O43" s="316"/>
      <c r="P43" s="316"/>
      <c r="Q43" s="316"/>
      <c r="R43" s="316">
        <v>12</v>
      </c>
      <c r="S43" s="316" t="s">
        <v>155</v>
      </c>
      <c r="T43" s="317">
        <f>R43</f>
        <v>12</v>
      </c>
      <c r="U43" s="317" t="s">
        <v>155</v>
      </c>
      <c r="V43" s="318">
        <v>601900</v>
      </c>
      <c r="W43" s="484">
        <f>V43*T43</f>
        <v>7222800</v>
      </c>
      <c r="X43" s="320" t="s">
        <v>566</v>
      </c>
      <c r="Y43" s="321">
        <v>605000</v>
      </c>
      <c r="Z43" s="322">
        <v>605000</v>
      </c>
      <c r="AA43" s="323">
        <v>605000</v>
      </c>
      <c r="AB43" s="323">
        <v>605000</v>
      </c>
      <c r="AC43" s="324">
        <v>605000</v>
      </c>
      <c r="AD43" s="324">
        <v>605000</v>
      </c>
      <c r="AE43" s="324">
        <v>605000</v>
      </c>
      <c r="AF43" s="324">
        <v>605000</v>
      </c>
      <c r="AG43" s="325">
        <v>605000</v>
      </c>
      <c r="AH43" s="325">
        <v>605000</v>
      </c>
      <c r="AI43" s="325">
        <v>605000</v>
      </c>
      <c r="AJ43" s="326">
        <v>605000</v>
      </c>
      <c r="AK43" s="332">
        <f t="shared" ref="AK43" si="1">SUM(Y43:AJ43)</f>
        <v>7260000</v>
      </c>
      <c r="AL43" s="328"/>
      <c r="AM43" s="322"/>
      <c r="AN43" s="323"/>
      <c r="AO43" s="323"/>
      <c r="AP43" s="324"/>
      <c r="AQ43" s="324"/>
      <c r="AR43" s="324"/>
      <c r="AS43" s="324"/>
      <c r="AT43" s="325"/>
      <c r="AU43" s="325"/>
      <c r="AV43" s="325"/>
      <c r="AW43" s="326"/>
      <c r="AX43" s="332">
        <f t="shared" ref="AX43" si="2">SUM(AL43:AW43)</f>
        <v>0</v>
      </c>
      <c r="AY43" s="333">
        <f t="shared" ref="AY43" si="3">AK43-AX43</f>
        <v>7260000</v>
      </c>
    </row>
    <row r="44" spans="1:51" s="330" customFormat="1" ht="15" customHeight="1" x14ac:dyDescent="0.25">
      <c r="A44" s="306"/>
      <c r="B44" s="307"/>
      <c r="C44" s="307"/>
      <c r="D44" s="308"/>
      <c r="E44" s="308"/>
      <c r="F44" s="308"/>
      <c r="G44" s="307"/>
      <c r="H44" s="311"/>
      <c r="I44" s="312"/>
      <c r="J44" s="331"/>
      <c r="K44" s="314"/>
      <c r="L44" s="315"/>
      <c r="M44" s="316"/>
      <c r="N44" s="316"/>
      <c r="O44" s="316"/>
      <c r="P44" s="316"/>
      <c r="Q44" s="316"/>
      <c r="R44" s="316"/>
      <c r="S44" s="316"/>
      <c r="T44" s="317"/>
      <c r="U44" s="317"/>
      <c r="V44" s="318"/>
      <c r="W44" s="319"/>
      <c r="X44" s="320"/>
      <c r="Y44" s="321"/>
      <c r="Z44" s="322"/>
      <c r="AA44" s="323"/>
      <c r="AB44" s="323"/>
      <c r="AC44" s="324"/>
      <c r="AD44" s="324"/>
      <c r="AE44" s="324"/>
      <c r="AF44" s="324"/>
      <c r="AG44" s="325"/>
      <c r="AH44" s="325"/>
      <c r="AI44" s="325"/>
      <c r="AJ44" s="326"/>
      <c r="AK44" s="332"/>
      <c r="AL44" s="328"/>
      <c r="AM44" s="322"/>
      <c r="AN44" s="323"/>
      <c r="AO44" s="323"/>
      <c r="AP44" s="324"/>
      <c r="AQ44" s="324"/>
      <c r="AR44" s="324"/>
      <c r="AS44" s="324"/>
      <c r="AT44" s="325"/>
      <c r="AU44" s="325"/>
      <c r="AV44" s="325"/>
      <c r="AW44" s="326"/>
      <c r="AX44" s="332"/>
      <c r="AY44" s="333"/>
    </row>
    <row r="45" spans="1:51" s="330" customFormat="1" ht="15" customHeight="1" x14ac:dyDescent="0.25">
      <c r="A45" s="306"/>
      <c r="B45" s="307" t="s">
        <v>59</v>
      </c>
      <c r="C45" s="307" t="s">
        <v>50</v>
      </c>
      <c r="D45" s="309" t="s">
        <v>67</v>
      </c>
      <c r="E45" s="309" t="s">
        <v>67</v>
      </c>
      <c r="F45" s="308" t="s">
        <v>65</v>
      </c>
      <c r="G45" s="310" t="s">
        <v>637</v>
      </c>
      <c r="H45" s="311"/>
      <c r="I45" s="312"/>
      <c r="J45" s="331" t="s">
        <v>575</v>
      </c>
      <c r="K45" s="314"/>
      <c r="L45" s="315"/>
      <c r="M45" s="316"/>
      <c r="N45" s="316"/>
      <c r="O45" s="316"/>
      <c r="P45" s="316"/>
      <c r="Q45" s="316"/>
      <c r="R45" s="316"/>
      <c r="S45" s="316"/>
      <c r="T45" s="317"/>
      <c r="U45" s="317"/>
      <c r="V45" s="318"/>
      <c r="W45" s="319">
        <f>W46</f>
        <v>5160000</v>
      </c>
      <c r="X45" s="320"/>
      <c r="Y45" s="321"/>
      <c r="Z45" s="322"/>
      <c r="AA45" s="323"/>
      <c r="AB45" s="323"/>
      <c r="AC45" s="324"/>
      <c r="AD45" s="324"/>
      <c r="AE45" s="324"/>
      <c r="AF45" s="324"/>
      <c r="AG45" s="325"/>
      <c r="AH45" s="325"/>
      <c r="AI45" s="325"/>
      <c r="AJ45" s="326"/>
      <c r="AK45" s="332"/>
      <c r="AL45" s="328"/>
      <c r="AM45" s="322"/>
      <c r="AN45" s="323"/>
      <c r="AO45" s="323"/>
      <c r="AP45" s="324"/>
      <c r="AQ45" s="324"/>
      <c r="AR45" s="324"/>
      <c r="AS45" s="324"/>
      <c r="AT45" s="325"/>
      <c r="AU45" s="325"/>
      <c r="AV45" s="325"/>
      <c r="AW45" s="326"/>
      <c r="AX45" s="332"/>
      <c r="AY45" s="333"/>
    </row>
    <row r="46" spans="1:51" s="330" customFormat="1" ht="15" customHeight="1" x14ac:dyDescent="0.25">
      <c r="A46" s="306"/>
      <c r="B46" s="307"/>
      <c r="C46" s="307"/>
      <c r="D46" s="308"/>
      <c r="E46" s="308"/>
      <c r="F46" s="308"/>
      <c r="G46" s="307"/>
      <c r="H46" s="311"/>
      <c r="I46" s="312"/>
      <c r="J46" s="331" t="s">
        <v>641</v>
      </c>
      <c r="K46" s="314"/>
      <c r="L46" s="315"/>
      <c r="M46" s="316"/>
      <c r="N46" s="316"/>
      <c r="O46" s="316"/>
      <c r="P46" s="316"/>
      <c r="Q46" s="316"/>
      <c r="R46" s="316">
        <v>12</v>
      </c>
      <c r="S46" s="316" t="s">
        <v>155</v>
      </c>
      <c r="T46" s="317">
        <f>R46</f>
        <v>12</v>
      </c>
      <c r="U46" s="317" t="s">
        <v>155</v>
      </c>
      <c r="V46" s="318">
        <v>430000</v>
      </c>
      <c r="W46" s="484">
        <f>V46*T46</f>
        <v>5160000</v>
      </c>
      <c r="X46" s="320" t="s">
        <v>566</v>
      </c>
      <c r="Y46" s="318">
        <v>420000</v>
      </c>
      <c r="Z46" s="318">
        <v>420000</v>
      </c>
      <c r="AA46" s="318">
        <v>420000</v>
      </c>
      <c r="AB46" s="318">
        <v>420000</v>
      </c>
      <c r="AC46" s="318">
        <v>420000</v>
      </c>
      <c r="AD46" s="318">
        <v>420000</v>
      </c>
      <c r="AE46" s="318">
        <v>420000</v>
      </c>
      <c r="AF46" s="318">
        <v>420000</v>
      </c>
      <c r="AG46" s="318">
        <v>420000</v>
      </c>
      <c r="AH46" s="318">
        <v>420000</v>
      </c>
      <c r="AI46" s="318">
        <v>420000</v>
      </c>
      <c r="AJ46" s="318">
        <v>420000</v>
      </c>
      <c r="AK46" s="332">
        <f t="shared" ref="AK46" si="4">SUM(Y46:AJ46)</f>
        <v>5040000</v>
      </c>
      <c r="AL46" s="328"/>
      <c r="AM46" s="322"/>
      <c r="AN46" s="323"/>
      <c r="AO46" s="323"/>
      <c r="AP46" s="324"/>
      <c r="AQ46" s="324"/>
      <c r="AR46" s="324"/>
      <c r="AS46" s="324"/>
      <c r="AT46" s="325"/>
      <c r="AU46" s="325"/>
      <c r="AV46" s="325"/>
      <c r="AW46" s="326"/>
      <c r="AX46" s="332">
        <f t="shared" ref="AX46" si="5">SUM(AL46:AW46)</f>
        <v>0</v>
      </c>
      <c r="AY46" s="333">
        <f t="shared" ref="AY46" si="6">AK46-AX46</f>
        <v>5040000</v>
      </c>
    </row>
    <row r="47" spans="1:51" s="330" customFormat="1" ht="15" customHeight="1" x14ac:dyDescent="0.25">
      <c r="A47" s="306"/>
      <c r="B47" s="307"/>
      <c r="C47" s="307"/>
      <c r="D47" s="308"/>
      <c r="E47" s="308"/>
      <c r="F47" s="308"/>
      <c r="G47" s="307"/>
      <c r="H47" s="311"/>
      <c r="I47" s="312"/>
      <c r="J47" s="331"/>
      <c r="K47" s="314"/>
      <c r="L47" s="315"/>
      <c r="M47" s="316"/>
      <c r="N47" s="316"/>
      <c r="O47" s="316"/>
      <c r="P47" s="316"/>
      <c r="Q47" s="316"/>
      <c r="R47" s="316"/>
      <c r="S47" s="316"/>
      <c r="T47" s="317"/>
      <c r="U47" s="317"/>
      <c r="V47" s="318"/>
      <c r="W47" s="319"/>
      <c r="X47" s="320"/>
      <c r="Y47" s="321"/>
      <c r="Z47" s="322"/>
      <c r="AA47" s="323"/>
      <c r="AB47" s="323"/>
      <c r="AC47" s="324"/>
      <c r="AD47" s="324"/>
      <c r="AE47" s="324"/>
      <c r="AF47" s="324"/>
      <c r="AG47" s="325"/>
      <c r="AH47" s="325"/>
      <c r="AI47" s="325"/>
      <c r="AJ47" s="326"/>
      <c r="AK47" s="332"/>
      <c r="AL47" s="328"/>
      <c r="AM47" s="322"/>
      <c r="AN47" s="323"/>
      <c r="AO47" s="323"/>
      <c r="AP47" s="324"/>
      <c r="AQ47" s="324"/>
      <c r="AR47" s="324"/>
      <c r="AS47" s="324"/>
      <c r="AT47" s="325"/>
      <c r="AU47" s="325"/>
      <c r="AV47" s="325"/>
      <c r="AW47" s="326"/>
      <c r="AX47" s="332"/>
      <c r="AY47" s="333"/>
    </row>
    <row r="48" spans="1:51" s="330" customFormat="1" ht="15" customHeight="1" x14ac:dyDescent="0.25">
      <c r="A48" s="306"/>
      <c r="B48" s="307" t="s">
        <v>59</v>
      </c>
      <c r="C48" s="307" t="s">
        <v>50</v>
      </c>
      <c r="D48" s="309" t="s">
        <v>67</v>
      </c>
      <c r="E48" s="309" t="s">
        <v>67</v>
      </c>
      <c r="F48" s="308" t="s">
        <v>65</v>
      </c>
      <c r="G48" s="310" t="s">
        <v>798</v>
      </c>
      <c r="H48" s="311"/>
      <c r="I48" s="312"/>
      <c r="J48" s="331" t="s">
        <v>799</v>
      </c>
      <c r="K48" s="314"/>
      <c r="L48" s="315"/>
      <c r="M48" s="316"/>
      <c r="N48" s="316"/>
      <c r="O48" s="316"/>
      <c r="P48" s="316"/>
      <c r="Q48" s="316"/>
      <c r="R48" s="316"/>
      <c r="S48" s="316"/>
      <c r="T48" s="317"/>
      <c r="U48" s="317"/>
      <c r="V48" s="318"/>
      <c r="W48" s="319">
        <f>SUM(W49:W50)</f>
        <v>1340000</v>
      </c>
      <c r="X48" s="320"/>
      <c r="Y48" s="321"/>
      <c r="Z48" s="322"/>
      <c r="AA48" s="323"/>
      <c r="AB48" s="323"/>
      <c r="AC48" s="324"/>
      <c r="AD48" s="324"/>
      <c r="AE48" s="324"/>
      <c r="AF48" s="324"/>
      <c r="AG48" s="325"/>
      <c r="AH48" s="325"/>
      <c r="AI48" s="325"/>
      <c r="AJ48" s="326"/>
      <c r="AK48" s="332"/>
      <c r="AL48" s="328"/>
      <c r="AM48" s="322"/>
      <c r="AN48" s="323"/>
      <c r="AO48" s="323"/>
      <c r="AP48" s="324"/>
      <c r="AQ48" s="324"/>
      <c r="AR48" s="324"/>
      <c r="AS48" s="324"/>
      <c r="AT48" s="325"/>
      <c r="AU48" s="325"/>
      <c r="AV48" s="325"/>
      <c r="AW48" s="326"/>
      <c r="AX48" s="332"/>
      <c r="AY48" s="333"/>
    </row>
    <row r="49" spans="1:51" s="330" customFormat="1" ht="15" customHeight="1" x14ac:dyDescent="0.25">
      <c r="A49" s="306"/>
      <c r="B49" s="307"/>
      <c r="C49" s="307"/>
      <c r="D49" s="308"/>
      <c r="E49" s="308"/>
      <c r="F49" s="308"/>
      <c r="G49" s="307"/>
      <c r="H49" s="311"/>
      <c r="I49" s="312"/>
      <c r="J49" s="331" t="s">
        <v>800</v>
      </c>
      <c r="K49" s="314"/>
      <c r="L49" s="315"/>
      <c r="M49" s="316"/>
      <c r="N49" s="316"/>
      <c r="O49" s="316"/>
      <c r="P49" s="316"/>
      <c r="Q49" s="316"/>
      <c r="R49" s="316">
        <v>1</v>
      </c>
      <c r="S49" s="316" t="s">
        <v>792</v>
      </c>
      <c r="T49" s="317">
        <f>R49</f>
        <v>1</v>
      </c>
      <c r="U49" s="317" t="s">
        <v>792</v>
      </c>
      <c r="V49" s="318">
        <v>500000</v>
      </c>
      <c r="W49" s="484">
        <f>V49*T49</f>
        <v>500000</v>
      </c>
      <c r="X49" s="320" t="s">
        <v>649</v>
      </c>
      <c r="Y49" s="321">
        <f>W49</f>
        <v>500000</v>
      </c>
      <c r="Z49" s="322"/>
      <c r="AA49" s="323"/>
      <c r="AB49" s="323"/>
      <c r="AC49" s="324"/>
      <c r="AD49" s="324"/>
      <c r="AE49" s="324"/>
      <c r="AF49" s="324"/>
      <c r="AG49" s="325"/>
      <c r="AH49" s="325"/>
      <c r="AI49" s="325"/>
      <c r="AJ49" s="326"/>
      <c r="AK49" s="332">
        <f t="shared" ref="AK49:AK50" si="7">SUM(Y49:AJ49)</f>
        <v>500000</v>
      </c>
      <c r="AL49" s="328"/>
      <c r="AM49" s="322"/>
      <c r="AN49" s="323"/>
      <c r="AO49" s="323"/>
      <c r="AP49" s="324"/>
      <c r="AQ49" s="324"/>
      <c r="AR49" s="324"/>
      <c r="AS49" s="324"/>
      <c r="AT49" s="325"/>
      <c r="AU49" s="325"/>
      <c r="AV49" s="325"/>
      <c r="AW49" s="326"/>
      <c r="AX49" s="332">
        <f t="shared" ref="AX49" si="8">SUM(AL49:AW49)</f>
        <v>0</v>
      </c>
      <c r="AY49" s="333">
        <f t="shared" ref="AY49" si="9">AK49-AX49</f>
        <v>500000</v>
      </c>
    </row>
    <row r="50" spans="1:51" s="330" customFormat="1" ht="15" customHeight="1" x14ac:dyDescent="0.25">
      <c r="A50" s="306"/>
      <c r="B50" s="307"/>
      <c r="C50" s="307"/>
      <c r="D50" s="308"/>
      <c r="E50" s="308"/>
      <c r="F50" s="308"/>
      <c r="G50" s="307"/>
      <c r="H50" s="311"/>
      <c r="I50" s="312"/>
      <c r="J50" s="331" t="s">
        <v>801</v>
      </c>
      <c r="K50" s="314"/>
      <c r="L50" s="315"/>
      <c r="M50" s="316"/>
      <c r="N50" s="316"/>
      <c r="O50" s="316"/>
      <c r="P50" s="316"/>
      <c r="Q50" s="316"/>
      <c r="R50" s="316">
        <v>12</v>
      </c>
      <c r="S50" s="316" t="s">
        <v>155</v>
      </c>
      <c r="T50" s="317">
        <f>R50</f>
        <v>12</v>
      </c>
      <c r="U50" s="317" t="s">
        <v>155</v>
      </c>
      <c r="V50" s="318">
        <v>70000</v>
      </c>
      <c r="W50" s="484">
        <f>V50*T50</f>
        <v>840000</v>
      </c>
      <c r="X50" s="320" t="s">
        <v>649</v>
      </c>
      <c r="Y50" s="321">
        <v>70000</v>
      </c>
      <c r="Z50" s="321">
        <v>70000</v>
      </c>
      <c r="AA50" s="321">
        <v>70000</v>
      </c>
      <c r="AB50" s="321">
        <v>70000</v>
      </c>
      <c r="AC50" s="324">
        <v>60000</v>
      </c>
      <c r="AD50" s="324">
        <v>60000</v>
      </c>
      <c r="AE50" s="324">
        <v>60000</v>
      </c>
      <c r="AF50" s="324">
        <v>60000</v>
      </c>
      <c r="AG50" s="325">
        <v>60000</v>
      </c>
      <c r="AH50" s="325">
        <v>60000</v>
      </c>
      <c r="AI50" s="325">
        <v>60000</v>
      </c>
      <c r="AJ50" s="326">
        <v>60000</v>
      </c>
      <c r="AK50" s="332">
        <f t="shared" si="7"/>
        <v>760000</v>
      </c>
      <c r="AL50" s="328"/>
      <c r="AM50" s="322"/>
      <c r="AN50" s="323"/>
      <c r="AO50" s="323"/>
      <c r="AP50" s="324"/>
      <c r="AQ50" s="324"/>
      <c r="AR50" s="324"/>
      <c r="AS50" s="324"/>
      <c r="AT50" s="325"/>
      <c r="AU50" s="325"/>
      <c r="AV50" s="325"/>
      <c r="AW50" s="326"/>
      <c r="AX50" s="332">
        <f t="shared" ref="AX50" si="10">SUM(AL50:AW50)</f>
        <v>0</v>
      </c>
      <c r="AY50" s="333">
        <f t="shared" ref="AY50" si="11">AK50-AX50</f>
        <v>760000</v>
      </c>
    </row>
    <row r="51" spans="1:51" s="330" customFormat="1" ht="15" customHeight="1" x14ac:dyDescent="0.25">
      <c r="A51" s="306"/>
      <c r="B51" s="307"/>
      <c r="C51" s="307"/>
      <c r="D51" s="308"/>
      <c r="E51" s="308"/>
      <c r="F51" s="308"/>
      <c r="G51" s="307"/>
      <c r="H51" s="311"/>
      <c r="I51" s="312"/>
      <c r="J51" s="331"/>
      <c r="K51" s="314"/>
      <c r="L51" s="315"/>
      <c r="M51" s="316"/>
      <c r="N51" s="316"/>
      <c r="O51" s="316"/>
      <c r="P51" s="316"/>
      <c r="Q51" s="316"/>
      <c r="R51" s="316"/>
      <c r="S51" s="316"/>
      <c r="T51" s="317"/>
      <c r="U51" s="317"/>
      <c r="V51" s="318"/>
      <c r="W51" s="319"/>
      <c r="X51" s="320"/>
      <c r="Y51" s="321"/>
      <c r="Z51" s="322"/>
      <c r="AA51" s="323"/>
      <c r="AB51" s="323"/>
      <c r="AC51" s="324"/>
      <c r="AD51" s="324"/>
      <c r="AE51" s="324"/>
      <c r="AF51" s="324"/>
      <c r="AG51" s="325"/>
      <c r="AH51" s="325"/>
      <c r="AI51" s="325"/>
      <c r="AJ51" s="326"/>
      <c r="AK51" s="332"/>
      <c r="AL51" s="328"/>
      <c r="AM51" s="322"/>
      <c r="AN51" s="323"/>
      <c r="AO51" s="323"/>
      <c r="AP51" s="324"/>
      <c r="AQ51" s="324"/>
      <c r="AR51" s="324"/>
      <c r="AS51" s="324"/>
      <c r="AT51" s="325"/>
      <c r="AU51" s="325"/>
      <c r="AV51" s="325"/>
      <c r="AW51" s="326"/>
      <c r="AX51" s="332"/>
      <c r="AY51" s="333"/>
    </row>
    <row r="52" spans="1:51" s="268" customFormat="1" ht="15" customHeight="1" thickBot="1" x14ac:dyDescent="0.3">
      <c r="A52" s="349"/>
      <c r="B52" s="350"/>
      <c r="C52" s="350"/>
      <c r="D52" s="351"/>
      <c r="E52" s="351"/>
      <c r="F52" s="351"/>
      <c r="G52" s="350"/>
      <c r="H52" s="352"/>
      <c r="I52" s="353"/>
      <c r="J52" s="354"/>
      <c r="K52" s="314"/>
      <c r="L52" s="331"/>
      <c r="M52" s="355"/>
      <c r="N52" s="355"/>
      <c r="O52" s="355"/>
      <c r="P52" s="355"/>
      <c r="Q52" s="355"/>
      <c r="R52" s="355"/>
      <c r="S52" s="355"/>
      <c r="T52" s="356"/>
      <c r="U52" s="317"/>
      <c r="V52" s="357"/>
      <c r="W52" s="358"/>
      <c r="X52" s="348"/>
      <c r="Y52" s="359"/>
      <c r="Z52" s="360"/>
      <c r="AA52" s="360"/>
      <c r="AB52" s="360"/>
      <c r="AC52" s="361"/>
      <c r="AD52" s="361"/>
      <c r="AE52" s="361"/>
      <c r="AF52" s="361"/>
      <c r="AG52" s="362"/>
      <c r="AH52" s="362"/>
      <c r="AI52" s="362"/>
      <c r="AJ52" s="363"/>
      <c r="AK52" s="265"/>
      <c r="AL52" s="364"/>
      <c r="AM52" s="360"/>
      <c r="AN52" s="360"/>
      <c r="AO52" s="360"/>
      <c r="AP52" s="361"/>
      <c r="AQ52" s="361"/>
      <c r="AR52" s="361"/>
      <c r="AS52" s="361"/>
      <c r="AT52" s="362"/>
      <c r="AU52" s="362"/>
      <c r="AV52" s="362"/>
      <c r="AW52" s="363"/>
      <c r="AX52" s="265"/>
      <c r="AY52" s="267"/>
    </row>
    <row r="53" spans="1:51" s="379" customFormat="1" ht="20.25" customHeight="1" thickBot="1" x14ac:dyDescent="0.3">
      <c r="A53" s="365" t="s">
        <v>157</v>
      </c>
      <c r="B53" s="366"/>
      <c r="C53" s="367"/>
      <c r="D53" s="367"/>
      <c r="E53" s="367"/>
      <c r="F53" s="367"/>
      <c r="G53" s="367"/>
      <c r="H53" s="367"/>
      <c r="I53" s="367"/>
      <c r="J53" s="367"/>
      <c r="K53" s="367"/>
      <c r="L53" s="367"/>
      <c r="M53" s="367"/>
      <c r="N53" s="367"/>
      <c r="O53" s="367"/>
      <c r="P53" s="367"/>
      <c r="Q53" s="367"/>
      <c r="R53" s="367"/>
      <c r="S53" s="367"/>
      <c r="T53" s="367"/>
      <c r="U53" s="367"/>
      <c r="V53" s="368"/>
      <c r="W53" s="369">
        <f>W37</f>
        <v>13722800</v>
      </c>
      <c r="X53" s="370"/>
      <c r="Y53" s="371"/>
      <c r="Z53" s="372"/>
      <c r="AA53" s="372"/>
      <c r="AB53" s="372"/>
      <c r="AC53" s="373"/>
      <c r="AD53" s="373"/>
      <c r="AE53" s="373"/>
      <c r="AF53" s="373"/>
      <c r="AG53" s="374"/>
      <c r="AH53" s="374"/>
      <c r="AI53" s="374"/>
      <c r="AJ53" s="375"/>
      <c r="AK53" s="376">
        <f>SUM(AK36:AK52)</f>
        <v>13560000</v>
      </c>
      <c r="AL53" s="377"/>
      <c r="AM53" s="372"/>
      <c r="AN53" s="372"/>
      <c r="AO53" s="372"/>
      <c r="AP53" s="373"/>
      <c r="AQ53" s="373"/>
      <c r="AR53" s="373"/>
      <c r="AS53" s="373"/>
      <c r="AT53" s="374"/>
      <c r="AU53" s="374"/>
      <c r="AV53" s="374"/>
      <c r="AW53" s="375"/>
      <c r="AX53" s="376">
        <f>SUM(AX36:AX52)</f>
        <v>0</v>
      </c>
      <c r="AY53" s="378">
        <f>SUM(AY36:AY52)</f>
        <v>13560000</v>
      </c>
    </row>
    <row r="54" spans="1:51" s="268" customFormat="1" ht="15.75" x14ac:dyDescent="0.25">
      <c r="A54" s="219" t="s">
        <v>158</v>
      </c>
      <c r="B54" s="380"/>
      <c r="C54" s="380"/>
      <c r="D54" s="380"/>
      <c r="E54" s="380"/>
      <c r="F54" s="380"/>
      <c r="G54" s="380"/>
      <c r="H54" s="380"/>
      <c r="I54" s="380"/>
      <c r="J54" s="380"/>
      <c r="K54" s="381"/>
      <c r="L54" s="382"/>
      <c r="M54" s="380"/>
      <c r="N54" s="380"/>
      <c r="O54" s="380"/>
      <c r="P54" s="380"/>
      <c r="Q54" s="380"/>
      <c r="R54" s="380"/>
      <c r="S54" s="380"/>
      <c r="T54" s="383"/>
      <c r="U54" s="384"/>
      <c r="V54" s="384"/>
      <c r="W54" s="384"/>
      <c r="X54" s="385"/>
      <c r="Y54" s="386"/>
      <c r="Z54" s="387"/>
      <c r="AA54" s="387"/>
      <c r="AB54" s="387"/>
      <c r="AC54" s="387"/>
      <c r="AD54" s="387"/>
      <c r="AE54" s="387"/>
      <c r="AF54" s="387"/>
      <c r="AG54" s="387"/>
      <c r="AH54" s="387"/>
      <c r="AI54" s="387"/>
      <c r="AJ54" s="387"/>
    </row>
    <row r="55" spans="1:51" s="268" customFormat="1" ht="15.75" x14ac:dyDescent="0.25">
      <c r="A55" s="219" t="s">
        <v>159</v>
      </c>
      <c r="B55" s="220"/>
      <c r="C55" s="380"/>
      <c r="D55" s="660" t="s">
        <v>160</v>
      </c>
      <c r="E55" s="660"/>
      <c r="F55" s="660"/>
      <c r="G55" s="660"/>
      <c r="H55" s="660"/>
      <c r="I55" s="388"/>
      <c r="J55" s="388"/>
      <c r="K55" s="389"/>
      <c r="L55" s="390"/>
      <c r="M55" s="391"/>
      <c r="N55" s="391"/>
      <c r="O55" s="391"/>
      <c r="P55" s="391"/>
      <c r="Q55" s="391"/>
      <c r="R55" s="391"/>
      <c r="S55" s="391"/>
      <c r="T55" s="380"/>
      <c r="U55" s="388"/>
      <c r="V55" s="392" t="s">
        <v>841</v>
      </c>
      <c r="W55" s="393"/>
      <c r="X55" s="394"/>
      <c r="Y55" s="387"/>
      <c r="Z55" s="387"/>
      <c r="AA55" s="387" t="s">
        <v>161</v>
      </c>
      <c r="AB55" s="387"/>
      <c r="AC55" s="387"/>
      <c r="AD55" s="387"/>
      <c r="AE55" s="387"/>
      <c r="AF55" s="387"/>
      <c r="AG55" s="387"/>
      <c r="AH55" s="387"/>
      <c r="AI55" s="387"/>
      <c r="AJ55" s="387"/>
    </row>
    <row r="56" spans="1:51" s="268" customFormat="1" ht="12" customHeight="1" x14ac:dyDescent="0.25">
      <c r="A56" s="219" t="s">
        <v>162</v>
      </c>
      <c r="B56" s="220"/>
      <c r="C56" s="380"/>
      <c r="D56" s="660" t="s">
        <v>160</v>
      </c>
      <c r="E56" s="660"/>
      <c r="F56" s="660"/>
      <c r="G56" s="660"/>
      <c r="H56" s="660"/>
      <c r="I56" s="388"/>
      <c r="J56" s="388"/>
      <c r="K56" s="389"/>
      <c r="L56" s="390"/>
      <c r="M56" s="391"/>
      <c r="N56" s="391"/>
      <c r="O56" s="391"/>
      <c r="P56" s="391"/>
      <c r="Q56" s="391"/>
      <c r="R56" s="391"/>
      <c r="S56" s="391"/>
      <c r="T56" s="380"/>
      <c r="U56" s="384"/>
      <c r="V56" s="395" t="s">
        <v>26</v>
      </c>
      <c r="W56" s="393"/>
      <c r="X56" s="394"/>
      <c r="Y56" s="387"/>
      <c r="Z56" s="387"/>
      <c r="AA56" s="387"/>
      <c r="AB56" s="387"/>
      <c r="AC56" s="387"/>
      <c r="AD56" s="387"/>
      <c r="AE56" s="387"/>
      <c r="AF56" s="387"/>
      <c r="AG56" s="387"/>
      <c r="AH56" s="387"/>
      <c r="AI56" s="387"/>
      <c r="AJ56" s="387"/>
    </row>
    <row r="57" spans="1:51" s="268" customFormat="1" ht="15.75" x14ac:dyDescent="0.25">
      <c r="A57" s="219" t="s">
        <v>163</v>
      </c>
      <c r="B57" s="220"/>
      <c r="C57" s="380"/>
      <c r="D57" s="660" t="s">
        <v>160</v>
      </c>
      <c r="E57" s="660"/>
      <c r="F57" s="660"/>
      <c r="G57" s="660"/>
      <c r="H57" s="660"/>
      <c r="I57" s="388"/>
      <c r="J57" s="388"/>
      <c r="K57" s="389"/>
      <c r="L57" s="390"/>
      <c r="M57" s="391"/>
      <c r="N57" s="391"/>
      <c r="O57" s="391"/>
      <c r="P57" s="391"/>
      <c r="Q57" s="391"/>
      <c r="R57" s="391"/>
      <c r="S57" s="391"/>
      <c r="T57" s="380"/>
      <c r="U57" s="384"/>
      <c r="V57" s="395"/>
      <c r="W57" s="393"/>
      <c r="X57" s="394"/>
      <c r="Y57" s="387"/>
      <c r="Z57" s="387"/>
      <c r="AA57" s="387"/>
      <c r="AB57" s="387"/>
      <c r="AC57" s="387"/>
      <c r="AD57" s="387"/>
      <c r="AE57" s="387"/>
      <c r="AF57" s="387"/>
      <c r="AG57" s="387"/>
      <c r="AH57" s="387"/>
      <c r="AI57" s="387"/>
      <c r="AJ57" s="387"/>
    </row>
    <row r="58" spans="1:51" s="268" customFormat="1" ht="15.75" x14ac:dyDescent="0.25">
      <c r="A58" s="219"/>
      <c r="B58" s="220"/>
      <c r="C58" s="380"/>
      <c r="D58" s="659"/>
      <c r="E58" s="659"/>
      <c r="F58" s="659"/>
      <c r="G58" s="659"/>
      <c r="H58" s="659"/>
      <c r="I58" s="388"/>
      <c r="J58" s="388"/>
      <c r="K58" s="396"/>
      <c r="L58" s="390"/>
      <c r="M58" s="391"/>
      <c r="N58" s="391"/>
      <c r="O58" s="391"/>
      <c r="P58" s="391"/>
      <c r="Q58" s="391"/>
      <c r="R58" s="391"/>
      <c r="S58" s="391"/>
      <c r="T58" s="380"/>
      <c r="U58" s="393"/>
      <c r="V58" s="395"/>
      <c r="W58" s="393"/>
      <c r="X58" s="394"/>
      <c r="Y58" s="387"/>
      <c r="Z58" s="387"/>
      <c r="AA58" s="387"/>
      <c r="AB58" s="387"/>
      <c r="AC58" s="387"/>
      <c r="AD58" s="387"/>
      <c r="AE58" s="387"/>
      <c r="AF58" s="387"/>
      <c r="AG58" s="387"/>
      <c r="AH58" s="387"/>
      <c r="AI58" s="387"/>
      <c r="AJ58" s="387"/>
    </row>
    <row r="59" spans="1:51" s="268" customFormat="1" ht="15.75" x14ac:dyDescent="0.25">
      <c r="A59" s="219" t="s">
        <v>87</v>
      </c>
      <c r="B59" s="220"/>
      <c r="C59" s="380"/>
      <c r="D59" s="660" t="s">
        <v>160</v>
      </c>
      <c r="E59" s="660"/>
      <c r="F59" s="660"/>
      <c r="G59" s="660"/>
      <c r="H59" s="660"/>
      <c r="I59" s="388"/>
      <c r="J59" s="388"/>
      <c r="K59" s="396"/>
      <c r="L59" s="390"/>
      <c r="M59" s="391"/>
      <c r="N59" s="391"/>
      <c r="O59" s="391"/>
      <c r="P59" s="391"/>
      <c r="Q59" s="391"/>
      <c r="R59" s="391"/>
      <c r="S59" s="391"/>
      <c r="T59" s="380"/>
      <c r="U59" s="393"/>
      <c r="V59" s="397"/>
      <c r="W59" s="398"/>
      <c r="X59" s="394"/>
      <c r="Y59" s="387"/>
      <c r="Z59" s="387"/>
      <c r="AA59" s="387"/>
      <c r="AB59" s="387"/>
      <c r="AC59" s="387"/>
      <c r="AD59" s="387"/>
      <c r="AE59" s="387"/>
      <c r="AF59" s="387"/>
      <c r="AG59" s="387"/>
      <c r="AH59" s="387"/>
      <c r="AI59" s="387"/>
      <c r="AJ59" s="387"/>
    </row>
    <row r="60" spans="1:51" s="268" customFormat="1" ht="15.75" x14ac:dyDescent="0.25">
      <c r="A60" s="399"/>
      <c r="B60" s="380"/>
      <c r="C60" s="380"/>
      <c r="D60" s="380"/>
      <c r="E60" s="380"/>
      <c r="F60" s="380"/>
      <c r="G60" s="380"/>
      <c r="H60" s="380"/>
      <c r="I60" s="388"/>
      <c r="J60" s="388"/>
      <c r="K60" s="396"/>
      <c r="L60" s="390"/>
      <c r="M60" s="391"/>
      <c r="N60" s="391"/>
      <c r="O60" s="391"/>
      <c r="P60" s="391"/>
      <c r="Q60" s="391"/>
      <c r="R60" s="391"/>
      <c r="S60" s="391"/>
      <c r="T60" s="380"/>
      <c r="U60" s="223"/>
      <c r="V60" s="400" t="s">
        <v>28</v>
      </c>
      <c r="W60" s="401"/>
      <c r="X60" s="394"/>
      <c r="Y60" s="387"/>
      <c r="Z60" s="387"/>
      <c r="AA60" s="387"/>
      <c r="AB60" s="387"/>
      <c r="AC60" s="387"/>
      <c r="AD60" s="387"/>
      <c r="AE60" s="387"/>
      <c r="AF60" s="387"/>
      <c r="AG60" s="387"/>
      <c r="AH60" s="387"/>
      <c r="AI60" s="387"/>
      <c r="AJ60" s="387"/>
    </row>
    <row r="61" spans="1:51" s="268" customFormat="1" ht="15.75" x14ac:dyDescent="0.25">
      <c r="A61" s="399"/>
      <c r="B61" s="380"/>
      <c r="C61" s="380"/>
      <c r="D61" s="380"/>
      <c r="E61" s="380"/>
      <c r="F61" s="380"/>
      <c r="G61" s="380"/>
      <c r="H61" s="380"/>
      <c r="I61" s="393"/>
      <c r="J61" s="388"/>
      <c r="K61" s="389"/>
      <c r="L61" s="390"/>
      <c r="M61" s="391"/>
      <c r="N61" s="391"/>
      <c r="O61" s="391"/>
      <c r="P61" s="391"/>
      <c r="Q61" s="391"/>
      <c r="R61" s="391"/>
      <c r="S61" s="391"/>
      <c r="T61" s="380"/>
      <c r="U61" s="223"/>
      <c r="V61" s="402" t="s">
        <v>76</v>
      </c>
      <c r="W61" s="393"/>
      <c r="X61" s="394"/>
      <c r="Y61" s="387"/>
      <c r="Z61" s="387"/>
      <c r="AA61" s="387"/>
      <c r="AB61" s="387"/>
      <c r="AC61" s="387"/>
      <c r="AD61" s="387"/>
      <c r="AE61" s="387"/>
      <c r="AF61" s="387"/>
      <c r="AG61" s="387"/>
      <c r="AH61" s="387"/>
      <c r="AI61" s="387"/>
      <c r="AJ61" s="387"/>
    </row>
    <row r="62" spans="1:51" s="268" customFormat="1" ht="11.25" customHeight="1" thickBot="1" x14ac:dyDescent="0.3">
      <c r="A62" s="403"/>
      <c r="B62" s="404"/>
      <c r="C62" s="404"/>
      <c r="D62" s="404"/>
      <c r="E62" s="404"/>
      <c r="F62" s="404"/>
      <c r="G62" s="404"/>
      <c r="H62" s="404"/>
      <c r="I62" s="405"/>
      <c r="J62" s="405"/>
      <c r="K62" s="406"/>
      <c r="L62" s="407"/>
      <c r="M62" s="405"/>
      <c r="N62" s="405"/>
      <c r="O62" s="405"/>
      <c r="P62" s="405"/>
      <c r="Q62" s="405"/>
      <c r="R62" s="405"/>
      <c r="S62" s="405"/>
      <c r="T62" s="408"/>
      <c r="U62" s="409"/>
      <c r="V62" s="410"/>
      <c r="W62" s="410"/>
      <c r="X62" s="411"/>
      <c r="Y62" s="387"/>
      <c r="Z62" s="387"/>
      <c r="AA62" s="387"/>
      <c r="AB62" s="387"/>
      <c r="AC62" s="387"/>
      <c r="AD62" s="387"/>
      <c r="AE62" s="387"/>
      <c r="AF62" s="387"/>
      <c r="AG62" s="387"/>
      <c r="AH62" s="387"/>
      <c r="AI62" s="387"/>
      <c r="AJ62" s="387"/>
    </row>
    <row r="63" spans="1:51" s="199" customFormat="1" ht="15.75" x14ac:dyDescent="0.25">
      <c r="A63" s="412"/>
      <c r="B63" s="412"/>
      <c r="C63" s="412"/>
      <c r="D63" s="412"/>
      <c r="E63" s="412"/>
      <c r="F63" s="412"/>
      <c r="G63" s="412"/>
      <c r="H63" s="412"/>
      <c r="I63" s="413"/>
      <c r="J63" s="413"/>
      <c r="K63" s="413"/>
      <c r="L63" s="414"/>
      <c r="M63" s="412"/>
      <c r="N63" s="412"/>
      <c r="O63" s="412"/>
      <c r="P63" s="412"/>
      <c r="Q63" s="412"/>
      <c r="R63" s="412"/>
      <c r="S63" s="412"/>
      <c r="T63" s="412"/>
      <c r="U63" s="413"/>
      <c r="V63" s="413"/>
      <c r="W63" s="413"/>
      <c r="X63" s="413"/>
      <c r="Y63" s="198"/>
      <c r="Z63" s="198"/>
      <c r="AA63" s="198"/>
      <c r="AB63" s="198"/>
      <c r="AC63" s="198"/>
      <c r="AD63" s="198"/>
      <c r="AE63" s="198"/>
      <c r="AF63" s="198"/>
      <c r="AG63" s="198"/>
      <c r="AH63" s="198"/>
      <c r="AI63" s="198"/>
      <c r="AJ63" s="198"/>
    </row>
    <row r="64" spans="1:51" s="199" customFormat="1" ht="15.75" x14ac:dyDescent="0.25">
      <c r="A64" s="412"/>
      <c r="B64" s="412"/>
      <c r="C64" s="412"/>
      <c r="D64" s="412"/>
      <c r="E64" s="412"/>
      <c r="F64" s="412"/>
      <c r="G64" s="412"/>
      <c r="H64" s="412"/>
      <c r="I64" s="413"/>
      <c r="J64" s="413"/>
      <c r="K64" s="413"/>
      <c r="L64" s="414"/>
      <c r="M64" s="412"/>
      <c r="N64" s="412"/>
      <c r="O64" s="412"/>
      <c r="P64" s="412"/>
      <c r="Q64" s="412"/>
      <c r="R64" s="412"/>
      <c r="S64" s="412"/>
      <c r="T64" s="412"/>
      <c r="U64" s="413"/>
      <c r="V64" s="413"/>
      <c r="W64" s="413"/>
      <c r="X64" s="413"/>
      <c r="Y64" s="198"/>
      <c r="Z64" s="198"/>
      <c r="AA64" s="198"/>
      <c r="AB64" s="198"/>
      <c r="AC64" s="198"/>
      <c r="AD64" s="198"/>
      <c r="AE64" s="198"/>
      <c r="AF64" s="198"/>
      <c r="AG64" s="198"/>
      <c r="AH64" s="198"/>
      <c r="AI64" s="198"/>
      <c r="AJ64" s="198"/>
    </row>
    <row r="65" spans="1:36" s="199" customFormat="1" ht="15.75" x14ac:dyDescent="0.25">
      <c r="A65" s="412"/>
      <c r="B65" s="412"/>
      <c r="C65" s="412"/>
      <c r="D65" s="412"/>
      <c r="E65" s="412"/>
      <c r="F65" s="412"/>
      <c r="G65" s="412"/>
      <c r="H65" s="412"/>
      <c r="I65" s="413"/>
      <c r="J65" s="413"/>
      <c r="K65" s="413"/>
      <c r="L65" s="414"/>
      <c r="M65" s="412"/>
      <c r="N65" s="412"/>
      <c r="O65" s="412"/>
      <c r="P65" s="412"/>
      <c r="Q65" s="412"/>
      <c r="R65" s="412"/>
      <c r="S65" s="412"/>
      <c r="T65" s="412"/>
      <c r="U65" s="413"/>
      <c r="V65" s="413"/>
      <c r="W65" s="413"/>
      <c r="X65" s="413"/>
      <c r="Y65" s="198"/>
      <c r="Z65" s="198"/>
      <c r="AA65" s="198"/>
      <c r="AB65" s="198"/>
      <c r="AC65" s="198"/>
      <c r="AD65" s="198"/>
      <c r="AE65" s="198"/>
      <c r="AF65" s="198"/>
      <c r="AG65" s="198"/>
      <c r="AH65" s="198"/>
      <c r="AI65" s="198"/>
      <c r="AJ65" s="198"/>
    </row>
    <row r="66" spans="1:36" ht="15.75" x14ac:dyDescent="0.25">
      <c r="A66" s="412"/>
      <c r="B66" s="412"/>
      <c r="C66" s="412"/>
      <c r="D66" s="412"/>
      <c r="E66" s="412"/>
      <c r="F66" s="412"/>
      <c r="G66" s="412"/>
      <c r="H66" s="412"/>
      <c r="I66" s="413"/>
      <c r="J66" s="413"/>
      <c r="K66" s="413"/>
      <c r="L66" s="414"/>
      <c r="M66" s="412"/>
      <c r="N66" s="412"/>
      <c r="O66" s="412"/>
      <c r="P66" s="412"/>
      <c r="Q66" s="412"/>
      <c r="R66" s="412"/>
      <c r="S66" s="412"/>
      <c r="T66" s="412"/>
      <c r="U66" s="413"/>
      <c r="V66" s="413"/>
      <c r="W66" s="413"/>
      <c r="X66" s="413"/>
    </row>
  </sheetData>
  <mergeCells count="72">
    <mergeCell ref="A13:X13"/>
    <mergeCell ref="V3:X3"/>
    <mergeCell ref="A5:X5"/>
    <mergeCell ref="A6:X6"/>
    <mergeCell ref="A7:I7"/>
    <mergeCell ref="A9:I9"/>
    <mergeCell ref="V23:X23"/>
    <mergeCell ref="A14:I14"/>
    <mergeCell ref="J14:U14"/>
    <mergeCell ref="V14:X14"/>
    <mergeCell ref="A15:I15"/>
    <mergeCell ref="A16:I19"/>
    <mergeCell ref="V16:X16"/>
    <mergeCell ref="V17:X17"/>
    <mergeCell ref="V18:X18"/>
    <mergeCell ref="V19:X19"/>
    <mergeCell ref="A20:I20"/>
    <mergeCell ref="V20:X20"/>
    <mergeCell ref="V21:X21"/>
    <mergeCell ref="K22:U22"/>
    <mergeCell ref="V22:X22"/>
    <mergeCell ref="A24:I24"/>
    <mergeCell ref="A28:I28"/>
    <mergeCell ref="A29:X29"/>
    <mergeCell ref="A30:X30"/>
    <mergeCell ref="A31:H35"/>
    <mergeCell ref="I31:K35"/>
    <mergeCell ref="L31:V32"/>
    <mergeCell ref="W31:W33"/>
    <mergeCell ref="X31:X35"/>
    <mergeCell ref="L33:S35"/>
    <mergeCell ref="T33:T35"/>
    <mergeCell ref="U33:U35"/>
    <mergeCell ref="V33:V35"/>
    <mergeCell ref="W34:W35"/>
    <mergeCell ref="Y31:AJ33"/>
    <mergeCell ref="AK31:AK35"/>
    <mergeCell ref="AL31:AW33"/>
    <mergeCell ref="AX31:AX35"/>
    <mergeCell ref="AY31:AY35"/>
    <mergeCell ref="AJ34:AJ35"/>
    <mergeCell ref="Y34:Y35"/>
    <mergeCell ref="Z34:Z35"/>
    <mergeCell ref="AA34:AA35"/>
    <mergeCell ref="AB34:AB35"/>
    <mergeCell ref="AC34:AC35"/>
    <mergeCell ref="AD34:AD35"/>
    <mergeCell ref="AE34:AE35"/>
    <mergeCell ref="AF34:AF35"/>
    <mergeCell ref="AG34:AG35"/>
    <mergeCell ref="AH34:AH35"/>
    <mergeCell ref="AI34:AI35"/>
    <mergeCell ref="AW34:AW35"/>
    <mergeCell ref="AL34:AL35"/>
    <mergeCell ref="AM34:AM35"/>
    <mergeCell ref="AN34:AN35"/>
    <mergeCell ref="AO34:AO35"/>
    <mergeCell ref="AP34:AP35"/>
    <mergeCell ref="AQ34:AQ35"/>
    <mergeCell ref="AR34:AR35"/>
    <mergeCell ref="AS34:AS35"/>
    <mergeCell ref="AT34:AT35"/>
    <mergeCell ref="AU34:AU35"/>
    <mergeCell ref="AV34:AV35"/>
    <mergeCell ref="D58:H58"/>
    <mergeCell ref="D59:H59"/>
    <mergeCell ref="A36:H36"/>
    <mergeCell ref="I36:K36"/>
    <mergeCell ref="L36:S36"/>
    <mergeCell ref="D55:H55"/>
    <mergeCell ref="D56:H56"/>
    <mergeCell ref="D57:H57"/>
  </mergeCells>
  <pageMargins left="0.85" right="0" top="1" bottom="1.5" header="0.42" footer="0.31"/>
  <pageSetup paperSize="124" scale="57" orientation="portrait" r:id="rId1"/>
  <headerFooter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BAF39-A215-4182-B7C3-2292180D670D}">
  <dimension ref="A1:AY68"/>
  <sheetViews>
    <sheetView showGridLines="0" topLeftCell="A31" zoomScale="90" zoomScaleNormal="90" zoomScaleSheetLayoutView="70" zoomScalePageLayoutView="40" workbookViewId="0">
      <selection activeCell="W55" sqref="W55"/>
    </sheetView>
  </sheetViews>
  <sheetFormatPr defaultColWidth="9.140625" defaultRowHeight="12.75" x14ac:dyDescent="0.2"/>
  <cols>
    <col min="1" max="6" width="3.7109375" style="415" customWidth="1"/>
    <col min="7" max="7" width="5.85546875" style="415" bestFit="1" customWidth="1"/>
    <col min="8" max="8" width="3.7109375" style="415" customWidth="1"/>
    <col min="9" max="9" width="2" style="176" customWidth="1"/>
    <col min="10" max="10" width="3.140625" style="176" customWidth="1"/>
    <col min="11" max="11" width="37.140625" style="176" customWidth="1"/>
    <col min="12" max="12" width="4.140625" style="416" customWidth="1"/>
    <col min="13" max="15" width="4" style="415" customWidth="1"/>
    <col min="16" max="16" width="6.5703125" style="415" bestFit="1" customWidth="1"/>
    <col min="17" max="18" width="4" style="415" customWidth="1"/>
    <col min="19" max="19" width="6.7109375" style="415" bestFit="1" customWidth="1"/>
    <col min="20" max="20" width="8.5703125" style="415" customWidth="1"/>
    <col min="21" max="21" width="9.28515625" style="176" customWidth="1"/>
    <col min="22" max="22" width="12.140625" style="176" customWidth="1"/>
    <col min="23" max="23" width="13.7109375" style="176" customWidth="1"/>
    <col min="24" max="24" width="9.5703125" style="176" customWidth="1"/>
    <col min="25" max="25" width="10.28515625" style="175" bestFit="1" customWidth="1"/>
    <col min="26" max="26" width="8" style="175" customWidth="1"/>
    <col min="27" max="29" width="9.28515625" style="175" bestFit="1" customWidth="1"/>
    <col min="30" max="30" width="8" style="175" customWidth="1"/>
    <col min="31" max="31" width="9.28515625" style="175" bestFit="1" customWidth="1"/>
    <col min="32" max="34" width="8" style="175" customWidth="1"/>
    <col min="35" max="35" width="9.28515625" style="175" bestFit="1" customWidth="1"/>
    <col min="36" max="36" width="8" style="175" customWidth="1"/>
    <col min="37" max="37" width="11.5703125" style="176" customWidth="1"/>
    <col min="38" max="50" width="9.140625" style="176"/>
    <col min="51" max="51" width="10.28515625" style="176" bestFit="1" customWidth="1"/>
    <col min="52" max="16384" width="9.140625" style="176"/>
  </cols>
  <sheetData>
    <row r="1" spans="1:36" ht="14.25" customHeight="1" x14ac:dyDescent="0.2">
      <c r="A1" s="169"/>
      <c r="B1" s="170"/>
      <c r="C1" s="170"/>
      <c r="D1" s="170"/>
      <c r="E1" s="170"/>
      <c r="F1" s="170"/>
      <c r="G1" s="170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2"/>
      <c r="U1" s="171"/>
      <c r="V1" s="173"/>
      <c r="W1" s="171"/>
      <c r="X1" s="174"/>
    </row>
    <row r="2" spans="1:36" ht="18.75" customHeight="1" x14ac:dyDescent="0.4">
      <c r="A2" s="177"/>
      <c r="B2" s="178"/>
      <c r="C2" s="178"/>
      <c r="D2" s="178"/>
      <c r="E2" s="178"/>
      <c r="F2" s="178"/>
      <c r="G2" s="178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80"/>
      <c r="U2" s="179"/>
      <c r="V2" s="181"/>
      <c r="W2" s="179"/>
      <c r="X2" s="182"/>
    </row>
    <row r="3" spans="1:36" ht="24.75" customHeight="1" x14ac:dyDescent="0.2">
      <c r="A3" s="183"/>
      <c r="B3" s="184"/>
      <c r="C3" s="184"/>
      <c r="D3" s="184"/>
      <c r="E3" s="184"/>
      <c r="F3" s="184"/>
      <c r="G3" s="184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6"/>
      <c r="U3" s="185"/>
      <c r="V3" s="562" t="s">
        <v>21</v>
      </c>
      <c r="W3" s="563"/>
      <c r="X3" s="564"/>
    </row>
    <row r="4" spans="1:36" ht="32.25" customHeight="1" thickBot="1" x14ac:dyDescent="0.25">
      <c r="A4" s="187"/>
      <c r="B4" s="188"/>
      <c r="C4" s="188"/>
      <c r="D4" s="188"/>
      <c r="E4" s="188"/>
      <c r="F4" s="188"/>
      <c r="G4" s="188"/>
      <c r="H4" s="189"/>
      <c r="I4" s="189"/>
      <c r="J4" s="189"/>
      <c r="K4" s="190"/>
      <c r="L4" s="189"/>
      <c r="M4" s="189"/>
      <c r="N4" s="189"/>
      <c r="O4" s="189"/>
      <c r="P4" s="189"/>
      <c r="Q4" s="189"/>
      <c r="R4" s="189"/>
      <c r="S4" s="189"/>
      <c r="T4" s="190"/>
      <c r="U4" s="189"/>
      <c r="V4" s="191"/>
      <c r="W4" s="192">
        <v>1</v>
      </c>
      <c r="X4" s="193"/>
    </row>
    <row r="5" spans="1:36" ht="21" customHeight="1" x14ac:dyDescent="0.2">
      <c r="A5" s="565" t="s">
        <v>1</v>
      </c>
      <c r="B5" s="566"/>
      <c r="C5" s="566"/>
      <c r="D5" s="566"/>
      <c r="E5" s="566"/>
      <c r="F5" s="566"/>
      <c r="G5" s="566"/>
      <c r="H5" s="566"/>
      <c r="I5" s="566"/>
      <c r="J5" s="566"/>
      <c r="K5" s="566"/>
      <c r="L5" s="566"/>
      <c r="M5" s="566"/>
      <c r="N5" s="566"/>
      <c r="O5" s="566"/>
      <c r="P5" s="566"/>
      <c r="Q5" s="566"/>
      <c r="R5" s="566"/>
      <c r="S5" s="566"/>
      <c r="T5" s="566"/>
      <c r="U5" s="566"/>
      <c r="V5" s="566"/>
      <c r="W5" s="566"/>
      <c r="X5" s="567"/>
    </row>
    <row r="6" spans="1:36" ht="21" customHeight="1" x14ac:dyDescent="0.2">
      <c r="A6" s="568" t="s">
        <v>836</v>
      </c>
      <c r="B6" s="569"/>
      <c r="C6" s="569"/>
      <c r="D6" s="569"/>
      <c r="E6" s="569"/>
      <c r="F6" s="569"/>
      <c r="G6" s="569"/>
      <c r="H6" s="569"/>
      <c r="I6" s="569"/>
      <c r="J6" s="569"/>
      <c r="K6" s="569"/>
      <c r="L6" s="569"/>
      <c r="M6" s="569"/>
      <c r="N6" s="569"/>
      <c r="O6" s="569"/>
      <c r="P6" s="569"/>
      <c r="Q6" s="569"/>
      <c r="R6" s="569"/>
      <c r="S6" s="569"/>
      <c r="T6" s="569"/>
      <c r="U6" s="569"/>
      <c r="V6" s="569"/>
      <c r="W6" s="569"/>
      <c r="X6" s="570"/>
    </row>
    <row r="7" spans="1:36" s="199" customFormat="1" ht="15" customHeight="1" x14ac:dyDescent="0.25">
      <c r="A7" s="571" t="s">
        <v>45</v>
      </c>
      <c r="B7" s="572"/>
      <c r="C7" s="572"/>
      <c r="D7" s="572"/>
      <c r="E7" s="572"/>
      <c r="F7" s="572"/>
      <c r="G7" s="572"/>
      <c r="H7" s="572"/>
      <c r="I7" s="572"/>
      <c r="J7" s="195" t="s">
        <v>113</v>
      </c>
      <c r="K7" s="196" t="s">
        <v>114</v>
      </c>
      <c r="L7" s="196"/>
      <c r="M7" s="196"/>
      <c r="N7" s="196"/>
      <c r="O7" s="196"/>
      <c r="P7" s="196"/>
      <c r="Q7" s="196"/>
      <c r="R7" s="196"/>
      <c r="S7" s="196"/>
      <c r="T7" s="196"/>
      <c r="U7" s="196"/>
      <c r="V7" s="196"/>
      <c r="W7" s="196"/>
      <c r="X7" s="197"/>
      <c r="Y7" s="198"/>
      <c r="Z7" s="198"/>
      <c r="AA7" s="198"/>
      <c r="AB7" s="198"/>
      <c r="AC7" s="198"/>
      <c r="AD7" s="198"/>
      <c r="AE7" s="198"/>
      <c r="AF7" s="198"/>
      <c r="AG7" s="198"/>
      <c r="AH7" s="198"/>
      <c r="AI7" s="198"/>
      <c r="AJ7" s="198"/>
    </row>
    <row r="8" spans="1:36" s="199" customFormat="1" ht="15" customHeight="1" x14ac:dyDescent="0.25">
      <c r="A8" s="194" t="s">
        <v>115</v>
      </c>
      <c r="B8" s="195"/>
      <c r="C8" s="195"/>
      <c r="D8" s="195"/>
      <c r="E8" s="195"/>
      <c r="F8" s="195"/>
      <c r="G8" s="195"/>
      <c r="H8" s="195"/>
      <c r="I8" s="195"/>
      <c r="J8" s="195" t="s">
        <v>113</v>
      </c>
      <c r="K8" s="200" t="s">
        <v>632</v>
      </c>
      <c r="L8" s="200"/>
      <c r="T8" s="200"/>
      <c r="U8" s="200"/>
      <c r="V8" s="200"/>
      <c r="W8" s="200"/>
      <c r="X8" s="201"/>
      <c r="Y8" s="198"/>
      <c r="Z8" s="198"/>
      <c r="AA8" s="198"/>
      <c r="AB8" s="198"/>
      <c r="AC8" s="198"/>
      <c r="AD8" s="198"/>
      <c r="AE8" s="198"/>
      <c r="AF8" s="198"/>
      <c r="AG8" s="198"/>
      <c r="AH8" s="198"/>
      <c r="AI8" s="198"/>
      <c r="AJ8" s="198"/>
    </row>
    <row r="9" spans="1:36" s="199" customFormat="1" ht="15" customHeight="1" x14ac:dyDescent="0.25">
      <c r="A9" s="573" t="s">
        <v>116</v>
      </c>
      <c r="B9" s="574"/>
      <c r="C9" s="574"/>
      <c r="D9" s="574"/>
      <c r="E9" s="574"/>
      <c r="F9" s="574"/>
      <c r="G9" s="574"/>
      <c r="H9" s="574"/>
      <c r="I9" s="574"/>
      <c r="J9" s="203" t="s">
        <v>113</v>
      </c>
      <c r="K9" s="204" t="s">
        <v>734</v>
      </c>
      <c r="L9" s="196"/>
      <c r="M9" s="204"/>
      <c r="N9" s="204"/>
      <c r="O9" s="204"/>
      <c r="P9" s="204"/>
      <c r="Q9" s="204"/>
      <c r="R9" s="204"/>
      <c r="S9" s="204"/>
      <c r="T9" s="196"/>
      <c r="U9" s="196"/>
      <c r="V9" s="196"/>
      <c r="W9" s="196"/>
      <c r="X9" s="197"/>
      <c r="Y9" s="198"/>
      <c r="Z9" s="198"/>
      <c r="AA9" s="198"/>
      <c r="AB9" s="198"/>
      <c r="AC9" s="198"/>
      <c r="AD9" s="198"/>
      <c r="AE9" s="198"/>
      <c r="AF9" s="198"/>
      <c r="AG9" s="198"/>
      <c r="AH9" s="198"/>
      <c r="AI9" s="198"/>
      <c r="AJ9" s="198"/>
    </row>
    <row r="10" spans="1:36" s="199" customFormat="1" ht="14.25" customHeight="1" x14ac:dyDescent="0.25">
      <c r="A10" s="202" t="s">
        <v>117</v>
      </c>
      <c r="B10" s="203"/>
      <c r="C10" s="205"/>
      <c r="D10" s="205"/>
      <c r="E10" s="205"/>
      <c r="F10" s="205"/>
      <c r="G10" s="205"/>
      <c r="H10" s="205"/>
      <c r="I10" s="203"/>
      <c r="J10" s="195" t="s">
        <v>113</v>
      </c>
      <c r="K10" s="206" t="s">
        <v>616</v>
      </c>
      <c r="L10" s="196"/>
      <c r="M10" s="196"/>
      <c r="N10" s="196"/>
      <c r="O10" s="196"/>
      <c r="P10" s="196"/>
      <c r="Q10" s="196"/>
      <c r="R10" s="196"/>
      <c r="S10" s="196"/>
      <c r="T10" s="207"/>
      <c r="U10" s="196"/>
      <c r="V10" s="196"/>
      <c r="W10" s="196"/>
      <c r="X10" s="197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</row>
    <row r="11" spans="1:36" s="199" customFormat="1" ht="14.25" customHeight="1" x14ac:dyDescent="0.25">
      <c r="A11" s="208" t="s">
        <v>118</v>
      </c>
      <c r="B11" s="209"/>
      <c r="C11" s="210"/>
      <c r="D11" s="210"/>
      <c r="E11" s="210"/>
      <c r="F11" s="210"/>
      <c r="G11" s="210"/>
      <c r="H11" s="210"/>
      <c r="I11" s="209"/>
      <c r="J11" s="195" t="s">
        <v>119</v>
      </c>
      <c r="K11" s="206" t="s">
        <v>114</v>
      </c>
      <c r="L11" s="211"/>
      <c r="M11" s="211"/>
      <c r="N11" s="211"/>
      <c r="O11" s="211"/>
      <c r="P11" s="211"/>
      <c r="Q11" s="211"/>
      <c r="R11" s="211"/>
      <c r="S11" s="211"/>
      <c r="T11" s="212"/>
      <c r="U11" s="211"/>
      <c r="V11" s="211"/>
      <c r="W11" s="211"/>
      <c r="X11" s="213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</row>
    <row r="12" spans="1:36" s="199" customFormat="1" ht="15.75" x14ac:dyDescent="0.25">
      <c r="A12" s="208" t="s">
        <v>120</v>
      </c>
      <c r="B12" s="209"/>
      <c r="C12" s="210"/>
      <c r="D12" s="210"/>
      <c r="E12" s="210"/>
      <c r="F12" s="210"/>
      <c r="G12" s="210"/>
      <c r="H12" s="210"/>
      <c r="I12" s="209"/>
      <c r="J12" s="195" t="s">
        <v>113</v>
      </c>
      <c r="K12" s="214" t="s">
        <v>766</v>
      </c>
      <c r="L12" s="211"/>
      <c r="M12" s="211"/>
      <c r="N12" s="211"/>
      <c r="O12" s="211"/>
      <c r="P12" s="211"/>
      <c r="Q12" s="211"/>
      <c r="R12" s="211"/>
      <c r="S12" s="211"/>
      <c r="T12" s="212"/>
      <c r="U12" s="211"/>
      <c r="V12" s="211"/>
      <c r="W12" s="211"/>
      <c r="X12" s="213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</row>
    <row r="13" spans="1:36" s="199" customFormat="1" ht="18" customHeight="1" x14ac:dyDescent="0.25">
      <c r="A13" s="559" t="s">
        <v>121</v>
      </c>
      <c r="B13" s="560"/>
      <c r="C13" s="560"/>
      <c r="D13" s="560"/>
      <c r="E13" s="560"/>
      <c r="F13" s="560"/>
      <c r="G13" s="560"/>
      <c r="H13" s="560"/>
      <c r="I13" s="560"/>
      <c r="J13" s="560"/>
      <c r="K13" s="560"/>
      <c r="L13" s="560"/>
      <c r="M13" s="560"/>
      <c r="N13" s="560"/>
      <c r="O13" s="560"/>
      <c r="P13" s="560"/>
      <c r="Q13" s="560"/>
      <c r="R13" s="560"/>
      <c r="S13" s="560"/>
      <c r="T13" s="560"/>
      <c r="U13" s="560"/>
      <c r="V13" s="560"/>
      <c r="W13" s="560"/>
      <c r="X13" s="561"/>
    </row>
    <row r="14" spans="1:36" s="199" customFormat="1" ht="15.75" x14ac:dyDescent="0.25">
      <c r="A14" s="578" t="s">
        <v>122</v>
      </c>
      <c r="B14" s="579"/>
      <c r="C14" s="579"/>
      <c r="D14" s="579"/>
      <c r="E14" s="579"/>
      <c r="F14" s="579"/>
      <c r="G14" s="579"/>
      <c r="H14" s="579"/>
      <c r="I14" s="580"/>
      <c r="J14" s="581" t="s">
        <v>123</v>
      </c>
      <c r="K14" s="579"/>
      <c r="L14" s="579"/>
      <c r="M14" s="579"/>
      <c r="N14" s="579"/>
      <c r="O14" s="579"/>
      <c r="P14" s="579"/>
      <c r="Q14" s="579"/>
      <c r="R14" s="579"/>
      <c r="S14" s="579"/>
      <c r="T14" s="579"/>
      <c r="U14" s="579"/>
      <c r="V14" s="581" t="s">
        <v>124</v>
      </c>
      <c r="W14" s="579"/>
      <c r="X14" s="582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</row>
    <row r="15" spans="1:36" s="199" customFormat="1" ht="17.25" customHeight="1" x14ac:dyDescent="0.25">
      <c r="A15" s="573" t="s">
        <v>125</v>
      </c>
      <c r="B15" s="574"/>
      <c r="C15" s="574"/>
      <c r="D15" s="574"/>
      <c r="E15" s="574"/>
      <c r="F15" s="574"/>
      <c r="G15" s="574"/>
      <c r="H15" s="574"/>
      <c r="I15" s="583"/>
      <c r="J15" s="203" t="s">
        <v>119</v>
      </c>
      <c r="K15" s="200"/>
      <c r="L15" s="196"/>
      <c r="M15" s="196"/>
      <c r="N15" s="196"/>
      <c r="O15" s="196"/>
      <c r="P15" s="196"/>
      <c r="Q15" s="196"/>
      <c r="R15" s="196"/>
      <c r="S15" s="196"/>
      <c r="T15" s="207"/>
      <c r="U15" s="196"/>
      <c r="V15" s="215"/>
      <c r="W15" s="196"/>
      <c r="X15" s="197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</row>
    <row r="16" spans="1:36" s="199" customFormat="1" ht="15.75" customHeight="1" x14ac:dyDescent="0.25">
      <c r="A16" s="571" t="s">
        <v>126</v>
      </c>
      <c r="B16" s="572"/>
      <c r="C16" s="572"/>
      <c r="D16" s="572"/>
      <c r="E16" s="572"/>
      <c r="F16" s="572"/>
      <c r="G16" s="572"/>
      <c r="H16" s="572"/>
      <c r="I16" s="584"/>
      <c r="J16" s="216" t="s">
        <v>119</v>
      </c>
      <c r="K16" s="217" t="s">
        <v>127</v>
      </c>
      <c r="L16" s="217"/>
      <c r="M16" s="217"/>
      <c r="N16" s="217"/>
      <c r="O16" s="217"/>
      <c r="P16" s="217"/>
      <c r="Q16" s="217"/>
      <c r="R16" s="217"/>
      <c r="S16" s="217"/>
      <c r="T16" s="218"/>
      <c r="U16" s="217"/>
      <c r="V16" s="591"/>
      <c r="W16" s="592"/>
      <c r="X16" s="593"/>
      <c r="Y16" s="198"/>
      <c r="Z16" s="198"/>
      <c r="AA16" s="198"/>
      <c r="AB16" s="198"/>
      <c r="AC16" s="198"/>
      <c r="AD16" s="198"/>
      <c r="AE16" s="198"/>
      <c r="AF16" s="198"/>
      <c r="AG16" s="198"/>
      <c r="AH16" s="198"/>
      <c r="AI16" s="198"/>
      <c r="AJ16" s="198"/>
    </row>
    <row r="17" spans="1:51" s="199" customFormat="1" ht="15.75" customHeight="1" x14ac:dyDescent="0.25">
      <c r="A17" s="585"/>
      <c r="B17" s="586"/>
      <c r="C17" s="586"/>
      <c r="D17" s="586"/>
      <c r="E17" s="586"/>
      <c r="F17" s="586"/>
      <c r="G17" s="586"/>
      <c r="H17" s="586"/>
      <c r="I17" s="587"/>
      <c r="J17" s="222" t="s">
        <v>119</v>
      </c>
      <c r="K17" s="223" t="s">
        <v>128</v>
      </c>
      <c r="L17" s="223"/>
      <c r="M17" s="223"/>
      <c r="N17" s="223"/>
      <c r="O17" s="223"/>
      <c r="P17" s="223"/>
      <c r="Q17" s="223"/>
      <c r="R17" s="223"/>
      <c r="S17" s="223"/>
      <c r="T17" s="224"/>
      <c r="U17" s="223"/>
      <c r="V17" s="594"/>
      <c r="W17" s="595"/>
      <c r="X17" s="596"/>
      <c r="Y17" s="198"/>
      <c r="Z17" s="198"/>
      <c r="AA17" s="198"/>
      <c r="AB17" s="198"/>
      <c r="AC17" s="198"/>
      <c r="AD17" s="198"/>
      <c r="AE17" s="198"/>
      <c r="AF17" s="198"/>
      <c r="AG17" s="198"/>
      <c r="AH17" s="198"/>
      <c r="AI17" s="198"/>
      <c r="AJ17" s="198"/>
    </row>
    <row r="18" spans="1:51" s="199" customFormat="1" ht="13.5" customHeight="1" x14ac:dyDescent="0.25">
      <c r="A18" s="585"/>
      <c r="B18" s="586"/>
      <c r="C18" s="586"/>
      <c r="D18" s="586"/>
      <c r="E18" s="586"/>
      <c r="F18" s="586"/>
      <c r="G18" s="586"/>
      <c r="H18" s="586"/>
      <c r="I18" s="587"/>
      <c r="J18" s="222" t="s">
        <v>119</v>
      </c>
      <c r="K18" s="223" t="s">
        <v>129</v>
      </c>
      <c r="L18" s="223"/>
      <c r="M18" s="223"/>
      <c r="N18" s="223"/>
      <c r="O18" s="223"/>
      <c r="P18" s="223"/>
      <c r="Q18" s="223"/>
      <c r="R18" s="223"/>
      <c r="S18" s="223"/>
      <c r="T18" s="224"/>
      <c r="U18" s="223"/>
      <c r="V18" s="594"/>
      <c r="W18" s="595"/>
      <c r="X18" s="596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</row>
    <row r="19" spans="1:51" s="199" customFormat="1" ht="15.75" customHeight="1" x14ac:dyDescent="0.25">
      <c r="A19" s="588"/>
      <c r="B19" s="589"/>
      <c r="C19" s="589"/>
      <c r="D19" s="589"/>
      <c r="E19" s="589"/>
      <c r="F19" s="589"/>
      <c r="G19" s="589"/>
      <c r="H19" s="589"/>
      <c r="I19" s="590"/>
      <c r="J19" s="226" t="s">
        <v>119</v>
      </c>
      <c r="K19" s="211" t="s">
        <v>130</v>
      </c>
      <c r="L19" s="211"/>
      <c r="M19" s="211"/>
      <c r="N19" s="211"/>
      <c r="O19" s="211"/>
      <c r="P19" s="211"/>
      <c r="Q19" s="211"/>
      <c r="R19" s="211"/>
      <c r="S19" s="211"/>
      <c r="T19" s="212"/>
      <c r="U19" s="211"/>
      <c r="V19" s="597"/>
      <c r="W19" s="598"/>
      <c r="X19" s="599"/>
      <c r="Y19" s="198"/>
      <c r="Z19" s="198"/>
      <c r="AA19" s="198"/>
      <c r="AB19" s="198"/>
      <c r="AC19" s="198"/>
      <c r="AD19" s="198"/>
      <c r="AE19" s="198"/>
      <c r="AF19" s="198"/>
      <c r="AG19" s="198"/>
      <c r="AH19" s="198"/>
      <c r="AI19" s="198"/>
      <c r="AJ19" s="198"/>
    </row>
    <row r="20" spans="1:51" s="199" customFormat="1" ht="15.75" customHeight="1" x14ac:dyDescent="0.25">
      <c r="A20" s="585" t="s">
        <v>131</v>
      </c>
      <c r="B20" s="586"/>
      <c r="C20" s="586"/>
      <c r="D20" s="586"/>
      <c r="E20" s="586"/>
      <c r="F20" s="586"/>
      <c r="G20" s="586"/>
      <c r="H20" s="586"/>
      <c r="I20" s="587"/>
      <c r="J20" s="220" t="s">
        <v>119</v>
      </c>
      <c r="K20" s="200" t="s">
        <v>737</v>
      </c>
      <c r="L20" s="196"/>
      <c r="M20" s="196"/>
      <c r="N20" s="196"/>
      <c r="O20" s="196"/>
      <c r="P20" s="196"/>
      <c r="Q20" s="196"/>
      <c r="R20" s="196"/>
      <c r="S20" s="196"/>
      <c r="T20" s="207"/>
      <c r="U20" s="196"/>
      <c r="V20" s="575"/>
      <c r="W20" s="576"/>
      <c r="X20" s="577"/>
      <c r="Y20" s="198"/>
      <c r="Z20" s="198"/>
      <c r="AA20" s="198"/>
      <c r="AB20" s="198"/>
      <c r="AC20" s="198"/>
      <c r="AD20" s="198"/>
      <c r="AE20" s="198"/>
      <c r="AF20" s="198"/>
      <c r="AG20" s="198"/>
      <c r="AH20" s="198"/>
      <c r="AI20" s="198"/>
      <c r="AJ20" s="198"/>
    </row>
    <row r="21" spans="1:51" s="199" customFormat="1" ht="15.75" customHeight="1" x14ac:dyDescent="0.25">
      <c r="A21" s="219"/>
      <c r="B21" s="220"/>
      <c r="C21" s="220"/>
      <c r="D21" s="220"/>
      <c r="E21" s="220"/>
      <c r="F21" s="220"/>
      <c r="G21" s="220"/>
      <c r="H21" s="220"/>
      <c r="I21" s="221"/>
      <c r="J21" s="229"/>
      <c r="K21" s="200" t="s">
        <v>738</v>
      </c>
      <c r="L21" s="196"/>
      <c r="M21" s="196"/>
      <c r="N21" s="196"/>
      <c r="O21" s="196"/>
      <c r="P21" s="196"/>
      <c r="Q21" s="196"/>
      <c r="R21" s="196"/>
      <c r="S21" s="196"/>
      <c r="T21" s="207"/>
      <c r="U21" s="196"/>
      <c r="V21" s="575"/>
      <c r="W21" s="576"/>
      <c r="X21" s="577"/>
      <c r="Y21" s="198"/>
      <c r="Z21" s="198"/>
      <c r="AA21" s="198"/>
      <c r="AB21" s="198"/>
      <c r="AC21" s="198"/>
      <c r="AD21" s="198"/>
      <c r="AE21" s="198"/>
      <c r="AF21" s="198"/>
      <c r="AG21" s="198"/>
      <c r="AH21" s="198"/>
      <c r="AI21" s="198"/>
      <c r="AJ21" s="198"/>
    </row>
    <row r="22" spans="1:51" s="199" customFormat="1" ht="15.75" x14ac:dyDescent="0.25">
      <c r="A22" s="219"/>
      <c r="B22" s="220"/>
      <c r="C22" s="220"/>
      <c r="D22" s="220"/>
      <c r="E22" s="220"/>
      <c r="F22" s="220"/>
      <c r="G22" s="220"/>
      <c r="H22" s="220"/>
      <c r="I22" s="221"/>
      <c r="J22" s="229"/>
      <c r="K22" s="600"/>
      <c r="L22" s="600"/>
      <c r="M22" s="600"/>
      <c r="N22" s="600"/>
      <c r="O22" s="600"/>
      <c r="P22" s="600"/>
      <c r="Q22" s="600"/>
      <c r="R22" s="600"/>
      <c r="S22" s="600"/>
      <c r="T22" s="600"/>
      <c r="U22" s="601"/>
      <c r="V22" s="575"/>
      <c r="W22" s="576"/>
      <c r="X22" s="577"/>
      <c r="Y22" s="198"/>
      <c r="Z22" s="198"/>
      <c r="AA22" s="198"/>
      <c r="AB22" s="198"/>
      <c r="AC22" s="198"/>
      <c r="AD22" s="198"/>
      <c r="AE22" s="198"/>
      <c r="AF22" s="198"/>
      <c r="AG22" s="198"/>
      <c r="AH22" s="198"/>
      <c r="AI22" s="198"/>
      <c r="AJ22" s="198"/>
    </row>
    <row r="23" spans="1:51" s="199" customFormat="1" ht="15.75" customHeight="1" x14ac:dyDescent="0.25">
      <c r="A23" s="219"/>
      <c r="B23" s="220"/>
      <c r="C23" s="220"/>
      <c r="D23" s="220"/>
      <c r="E23" s="220"/>
      <c r="F23" s="220"/>
      <c r="G23" s="220"/>
      <c r="H23" s="220"/>
      <c r="I23" s="221"/>
      <c r="J23" s="229"/>
      <c r="K23" s="204"/>
      <c r="L23" s="211"/>
      <c r="M23" s="211"/>
      <c r="N23" s="211"/>
      <c r="O23" s="211"/>
      <c r="P23" s="211"/>
      <c r="Q23" s="211"/>
      <c r="R23" s="211"/>
      <c r="S23" s="211"/>
      <c r="T23" s="212"/>
      <c r="U23" s="211"/>
      <c r="V23" s="575"/>
      <c r="W23" s="576"/>
      <c r="X23" s="577"/>
      <c r="Y23" s="198"/>
      <c r="Z23" s="198"/>
      <c r="AA23" s="198"/>
      <c r="AB23" s="198"/>
      <c r="AC23" s="198"/>
      <c r="AD23" s="198"/>
      <c r="AE23" s="198"/>
      <c r="AF23" s="198"/>
      <c r="AG23" s="198"/>
      <c r="AH23" s="198"/>
      <c r="AI23" s="198"/>
      <c r="AJ23" s="198"/>
    </row>
    <row r="24" spans="1:51" s="199" customFormat="1" ht="16.5" customHeight="1" x14ac:dyDescent="0.25">
      <c r="A24" s="573" t="s">
        <v>132</v>
      </c>
      <c r="B24" s="574"/>
      <c r="C24" s="574"/>
      <c r="D24" s="574"/>
      <c r="E24" s="574"/>
      <c r="F24" s="574"/>
      <c r="G24" s="574"/>
      <c r="H24" s="574"/>
      <c r="I24" s="583"/>
      <c r="J24" s="203" t="s">
        <v>119</v>
      </c>
      <c r="K24" s="200"/>
      <c r="L24" s="196"/>
      <c r="M24" s="196"/>
      <c r="N24" s="196"/>
      <c r="O24" s="196"/>
      <c r="P24" s="196"/>
      <c r="Q24" s="196"/>
      <c r="R24" s="196"/>
      <c r="S24" s="196"/>
      <c r="T24" s="207"/>
      <c r="U24" s="196"/>
      <c r="V24" s="230"/>
      <c r="W24" s="196"/>
      <c r="X24" s="197"/>
      <c r="Y24" s="198"/>
      <c r="Z24" s="198"/>
      <c r="AA24" s="198"/>
      <c r="AB24" s="198"/>
      <c r="AC24" s="198"/>
      <c r="AD24" s="198"/>
      <c r="AE24" s="198"/>
      <c r="AF24" s="198"/>
      <c r="AG24" s="198"/>
      <c r="AH24" s="198"/>
      <c r="AI24" s="198"/>
      <c r="AJ24" s="198"/>
    </row>
    <row r="25" spans="1:51" s="199" customFormat="1" ht="16.5" customHeight="1" x14ac:dyDescent="0.25">
      <c r="A25" s="208"/>
      <c r="B25" s="209"/>
      <c r="C25" s="209"/>
      <c r="D25" s="209"/>
      <c r="E25" s="209"/>
      <c r="F25" s="209"/>
      <c r="G25" s="209"/>
      <c r="H25" s="209"/>
      <c r="I25" s="225"/>
      <c r="J25" s="209"/>
      <c r="K25" s="200"/>
      <c r="L25" s="211"/>
      <c r="M25" s="211"/>
      <c r="N25" s="211"/>
      <c r="O25" s="211"/>
      <c r="P25" s="211"/>
      <c r="Q25" s="211"/>
      <c r="R25" s="211"/>
      <c r="S25" s="211"/>
      <c r="T25" s="212"/>
      <c r="U25" s="211"/>
      <c r="V25" s="230"/>
      <c r="W25" s="211"/>
      <c r="X25" s="213"/>
      <c r="Y25" s="198"/>
      <c r="Z25" s="198"/>
      <c r="AA25" s="198"/>
      <c r="AB25" s="198"/>
      <c r="AC25" s="198"/>
      <c r="AD25" s="198"/>
      <c r="AE25" s="198"/>
      <c r="AF25" s="198"/>
      <c r="AG25" s="198"/>
      <c r="AH25" s="198"/>
      <c r="AI25" s="198"/>
      <c r="AJ25" s="198"/>
    </row>
    <row r="26" spans="1:51" s="199" customFormat="1" ht="16.5" customHeight="1" x14ac:dyDescent="0.25">
      <c r="A26" s="208"/>
      <c r="B26" s="209"/>
      <c r="C26" s="209"/>
      <c r="D26" s="209"/>
      <c r="E26" s="209"/>
      <c r="F26" s="209"/>
      <c r="G26" s="209"/>
      <c r="H26" s="209"/>
      <c r="I26" s="225"/>
      <c r="J26" s="209"/>
      <c r="K26" s="200"/>
      <c r="L26" s="211"/>
      <c r="M26" s="211"/>
      <c r="N26" s="211"/>
      <c r="O26" s="211"/>
      <c r="P26" s="211"/>
      <c r="Q26" s="211"/>
      <c r="R26" s="211"/>
      <c r="S26" s="211"/>
      <c r="T26" s="212"/>
      <c r="U26" s="211"/>
      <c r="V26" s="230"/>
      <c r="W26" s="211"/>
      <c r="X26" s="213"/>
      <c r="Y26" s="198"/>
      <c r="Z26" s="198"/>
      <c r="AA26" s="198"/>
      <c r="AB26" s="198"/>
      <c r="AC26" s="198"/>
      <c r="AD26" s="198"/>
      <c r="AE26" s="198"/>
      <c r="AF26" s="198"/>
      <c r="AG26" s="198"/>
      <c r="AH26" s="198"/>
      <c r="AI26" s="198"/>
      <c r="AJ26" s="198"/>
    </row>
    <row r="27" spans="1:51" s="199" customFormat="1" ht="16.5" customHeight="1" x14ac:dyDescent="0.25">
      <c r="A27" s="208"/>
      <c r="B27" s="209"/>
      <c r="C27" s="209"/>
      <c r="D27" s="209"/>
      <c r="E27" s="209"/>
      <c r="F27" s="209"/>
      <c r="G27" s="209"/>
      <c r="H27" s="209"/>
      <c r="I27" s="225"/>
      <c r="J27" s="209"/>
      <c r="K27" s="200"/>
      <c r="L27" s="211"/>
      <c r="M27" s="211"/>
      <c r="N27" s="211"/>
      <c r="O27" s="211"/>
      <c r="P27" s="211"/>
      <c r="Q27" s="211"/>
      <c r="R27" s="211"/>
      <c r="S27" s="211"/>
      <c r="T27" s="212"/>
      <c r="U27" s="211"/>
      <c r="V27" s="231"/>
      <c r="W27" s="211"/>
      <c r="X27" s="213"/>
      <c r="Y27" s="198"/>
      <c r="Z27" s="198"/>
      <c r="AA27" s="198"/>
      <c r="AB27" s="198"/>
      <c r="AC27" s="198"/>
      <c r="AD27" s="198"/>
      <c r="AE27" s="198"/>
      <c r="AF27" s="198"/>
      <c r="AG27" s="198"/>
      <c r="AH27" s="198"/>
      <c r="AI27" s="198"/>
      <c r="AJ27" s="198"/>
    </row>
    <row r="28" spans="1:51" s="199" customFormat="1" ht="18.75" customHeight="1" x14ac:dyDescent="0.25">
      <c r="A28" s="602" t="s">
        <v>133</v>
      </c>
      <c r="B28" s="603"/>
      <c r="C28" s="603"/>
      <c r="D28" s="603"/>
      <c r="E28" s="603"/>
      <c r="F28" s="603"/>
      <c r="G28" s="603"/>
      <c r="H28" s="603"/>
      <c r="I28" s="604"/>
      <c r="J28" s="209" t="s">
        <v>119</v>
      </c>
      <c r="K28" s="200"/>
      <c r="L28" s="211"/>
      <c r="M28" s="211"/>
      <c r="N28" s="211"/>
      <c r="O28" s="211"/>
      <c r="P28" s="211"/>
      <c r="Q28" s="211"/>
      <c r="R28" s="211"/>
      <c r="S28" s="211"/>
      <c r="T28" s="212"/>
      <c r="U28" s="211"/>
      <c r="V28" s="200"/>
      <c r="W28" s="232"/>
      <c r="X28" s="233"/>
      <c r="Y28" s="198"/>
      <c r="Z28" s="198"/>
      <c r="AA28" s="198"/>
      <c r="AB28" s="198"/>
      <c r="AC28" s="198"/>
      <c r="AD28" s="198"/>
      <c r="AE28" s="198"/>
      <c r="AF28" s="198"/>
      <c r="AG28" s="198"/>
      <c r="AH28" s="198"/>
      <c r="AI28" s="198"/>
      <c r="AJ28" s="198"/>
    </row>
    <row r="29" spans="1:51" s="199" customFormat="1" ht="15.75" x14ac:dyDescent="0.25">
      <c r="A29" s="605" t="s">
        <v>134</v>
      </c>
      <c r="B29" s="606"/>
      <c r="C29" s="606"/>
      <c r="D29" s="606"/>
      <c r="E29" s="606"/>
      <c r="F29" s="606"/>
      <c r="G29" s="606"/>
      <c r="H29" s="606"/>
      <c r="I29" s="606"/>
      <c r="J29" s="606"/>
      <c r="K29" s="606"/>
      <c r="L29" s="606"/>
      <c r="M29" s="606"/>
      <c r="N29" s="606"/>
      <c r="O29" s="606"/>
      <c r="P29" s="606"/>
      <c r="Q29" s="606"/>
      <c r="R29" s="606"/>
      <c r="S29" s="606"/>
      <c r="T29" s="606"/>
      <c r="U29" s="606"/>
      <c r="V29" s="606"/>
      <c r="W29" s="606"/>
      <c r="X29" s="607"/>
    </row>
    <row r="30" spans="1:51" s="199" customFormat="1" ht="16.5" thickBot="1" x14ac:dyDescent="0.3">
      <c r="A30" s="608" t="s">
        <v>135</v>
      </c>
      <c r="B30" s="609"/>
      <c r="C30" s="609"/>
      <c r="D30" s="609"/>
      <c r="E30" s="609"/>
      <c r="F30" s="609"/>
      <c r="G30" s="609"/>
      <c r="H30" s="609"/>
      <c r="I30" s="609"/>
      <c r="J30" s="609"/>
      <c r="K30" s="609"/>
      <c r="L30" s="609"/>
      <c r="M30" s="609"/>
      <c r="N30" s="609"/>
      <c r="O30" s="609"/>
      <c r="P30" s="609"/>
      <c r="Q30" s="609"/>
      <c r="R30" s="609"/>
      <c r="S30" s="609"/>
      <c r="T30" s="609"/>
      <c r="U30" s="609"/>
      <c r="V30" s="609"/>
      <c r="W30" s="609"/>
      <c r="X30" s="610"/>
    </row>
    <row r="31" spans="1:51" s="199" customFormat="1" ht="10.5" customHeight="1" x14ac:dyDescent="0.25">
      <c r="A31" s="611" t="s">
        <v>136</v>
      </c>
      <c r="B31" s="612"/>
      <c r="C31" s="612"/>
      <c r="D31" s="612"/>
      <c r="E31" s="612"/>
      <c r="F31" s="612"/>
      <c r="G31" s="612"/>
      <c r="H31" s="613"/>
      <c r="I31" s="620" t="s">
        <v>137</v>
      </c>
      <c r="J31" s="612"/>
      <c r="K31" s="613"/>
      <c r="L31" s="620" t="s">
        <v>138</v>
      </c>
      <c r="M31" s="612"/>
      <c r="N31" s="612"/>
      <c r="O31" s="612"/>
      <c r="P31" s="612"/>
      <c r="Q31" s="612"/>
      <c r="R31" s="612"/>
      <c r="S31" s="612"/>
      <c r="T31" s="612"/>
      <c r="U31" s="612"/>
      <c r="V31" s="613"/>
      <c r="W31" s="623" t="s">
        <v>139</v>
      </c>
      <c r="X31" s="625" t="s">
        <v>140</v>
      </c>
      <c r="Y31" s="636" t="s">
        <v>567</v>
      </c>
      <c r="Z31" s="636"/>
      <c r="AA31" s="636"/>
      <c r="AB31" s="636"/>
      <c r="AC31" s="636"/>
      <c r="AD31" s="636"/>
      <c r="AE31" s="636"/>
      <c r="AF31" s="636"/>
      <c r="AG31" s="636"/>
      <c r="AH31" s="636"/>
      <c r="AI31" s="636"/>
      <c r="AJ31" s="637"/>
      <c r="AK31" s="642" t="s">
        <v>139</v>
      </c>
      <c r="AL31" s="645" t="s">
        <v>568</v>
      </c>
      <c r="AM31" s="636"/>
      <c r="AN31" s="636"/>
      <c r="AO31" s="636"/>
      <c r="AP31" s="636"/>
      <c r="AQ31" s="636"/>
      <c r="AR31" s="636"/>
      <c r="AS31" s="636"/>
      <c r="AT31" s="636"/>
      <c r="AU31" s="636"/>
      <c r="AV31" s="636"/>
      <c r="AW31" s="637"/>
      <c r="AX31" s="642" t="s">
        <v>139</v>
      </c>
      <c r="AY31" s="648" t="s">
        <v>141</v>
      </c>
    </row>
    <row r="32" spans="1:51" s="199" customFormat="1" ht="6.75" customHeight="1" x14ac:dyDescent="0.25">
      <c r="A32" s="614"/>
      <c r="B32" s="615"/>
      <c r="C32" s="615"/>
      <c r="D32" s="615"/>
      <c r="E32" s="615"/>
      <c r="F32" s="615"/>
      <c r="G32" s="615"/>
      <c r="H32" s="616"/>
      <c r="I32" s="621"/>
      <c r="J32" s="615"/>
      <c r="K32" s="616"/>
      <c r="L32" s="621"/>
      <c r="M32" s="615"/>
      <c r="N32" s="615"/>
      <c r="O32" s="615"/>
      <c r="P32" s="615"/>
      <c r="Q32" s="615"/>
      <c r="R32" s="615"/>
      <c r="S32" s="615"/>
      <c r="T32" s="615"/>
      <c r="U32" s="615"/>
      <c r="V32" s="616"/>
      <c r="W32" s="624"/>
      <c r="X32" s="626"/>
      <c r="Y32" s="638"/>
      <c r="Z32" s="638"/>
      <c r="AA32" s="638"/>
      <c r="AB32" s="638"/>
      <c r="AC32" s="638"/>
      <c r="AD32" s="638"/>
      <c r="AE32" s="638"/>
      <c r="AF32" s="638"/>
      <c r="AG32" s="638"/>
      <c r="AH32" s="638"/>
      <c r="AI32" s="638"/>
      <c r="AJ32" s="639"/>
      <c r="AK32" s="643"/>
      <c r="AL32" s="646"/>
      <c r="AM32" s="638"/>
      <c r="AN32" s="638"/>
      <c r="AO32" s="638"/>
      <c r="AP32" s="638"/>
      <c r="AQ32" s="638"/>
      <c r="AR32" s="638"/>
      <c r="AS32" s="638"/>
      <c r="AT32" s="638"/>
      <c r="AU32" s="638"/>
      <c r="AV32" s="638"/>
      <c r="AW32" s="639"/>
      <c r="AX32" s="643"/>
      <c r="AY32" s="649"/>
    </row>
    <row r="33" spans="1:51" s="199" customFormat="1" ht="10.5" customHeight="1" thickBot="1" x14ac:dyDescent="0.3">
      <c r="A33" s="614"/>
      <c r="B33" s="615"/>
      <c r="C33" s="615"/>
      <c r="D33" s="615"/>
      <c r="E33" s="615"/>
      <c r="F33" s="615"/>
      <c r="G33" s="615"/>
      <c r="H33" s="616"/>
      <c r="I33" s="621"/>
      <c r="J33" s="615"/>
      <c r="K33" s="616"/>
      <c r="L33" s="628" t="s">
        <v>79</v>
      </c>
      <c r="M33" s="629"/>
      <c r="N33" s="629"/>
      <c r="O33" s="629"/>
      <c r="P33" s="629"/>
      <c r="Q33" s="629"/>
      <c r="R33" s="629"/>
      <c r="S33" s="630"/>
      <c r="T33" s="631" t="s">
        <v>80</v>
      </c>
      <c r="U33" s="631" t="s">
        <v>81</v>
      </c>
      <c r="V33" s="631" t="s">
        <v>82</v>
      </c>
      <c r="W33" s="624"/>
      <c r="X33" s="626"/>
      <c r="Y33" s="640"/>
      <c r="Z33" s="640"/>
      <c r="AA33" s="640"/>
      <c r="AB33" s="640"/>
      <c r="AC33" s="640"/>
      <c r="AD33" s="640"/>
      <c r="AE33" s="640"/>
      <c r="AF33" s="640"/>
      <c r="AG33" s="640"/>
      <c r="AH33" s="640"/>
      <c r="AI33" s="640"/>
      <c r="AJ33" s="641"/>
      <c r="AK33" s="643"/>
      <c r="AL33" s="647"/>
      <c r="AM33" s="640"/>
      <c r="AN33" s="640"/>
      <c r="AO33" s="640"/>
      <c r="AP33" s="640"/>
      <c r="AQ33" s="640"/>
      <c r="AR33" s="640"/>
      <c r="AS33" s="640"/>
      <c r="AT33" s="640"/>
      <c r="AU33" s="640"/>
      <c r="AV33" s="640"/>
      <c r="AW33" s="641"/>
      <c r="AX33" s="643"/>
      <c r="AY33" s="649"/>
    </row>
    <row r="34" spans="1:51" s="199" customFormat="1" ht="8.25" customHeight="1" thickBot="1" x14ac:dyDescent="0.3">
      <c r="A34" s="614"/>
      <c r="B34" s="615"/>
      <c r="C34" s="615"/>
      <c r="D34" s="615"/>
      <c r="E34" s="615"/>
      <c r="F34" s="615"/>
      <c r="G34" s="615"/>
      <c r="H34" s="616"/>
      <c r="I34" s="621"/>
      <c r="J34" s="615"/>
      <c r="K34" s="616"/>
      <c r="L34" s="621"/>
      <c r="M34" s="615"/>
      <c r="N34" s="615"/>
      <c r="O34" s="615"/>
      <c r="P34" s="615"/>
      <c r="Q34" s="615"/>
      <c r="R34" s="615"/>
      <c r="S34" s="616"/>
      <c r="T34" s="632"/>
      <c r="U34" s="632"/>
      <c r="V34" s="632"/>
      <c r="W34" s="634" t="s">
        <v>142</v>
      </c>
      <c r="X34" s="626"/>
      <c r="Y34" s="653" t="s">
        <v>50</v>
      </c>
      <c r="Z34" s="655" t="s">
        <v>53</v>
      </c>
      <c r="AA34" s="655" t="s">
        <v>55</v>
      </c>
      <c r="AB34" s="655" t="s">
        <v>57</v>
      </c>
      <c r="AC34" s="657" t="s">
        <v>59</v>
      </c>
      <c r="AD34" s="657" t="s">
        <v>61</v>
      </c>
      <c r="AE34" s="657" t="s">
        <v>101</v>
      </c>
      <c r="AF34" s="657" t="s">
        <v>107</v>
      </c>
      <c r="AG34" s="651" t="s">
        <v>143</v>
      </c>
      <c r="AH34" s="651" t="s">
        <v>144</v>
      </c>
      <c r="AI34" s="651" t="s">
        <v>145</v>
      </c>
      <c r="AJ34" s="651" t="s">
        <v>146</v>
      </c>
      <c r="AK34" s="643"/>
      <c r="AL34" s="655" t="s">
        <v>50</v>
      </c>
      <c r="AM34" s="655" t="s">
        <v>53</v>
      </c>
      <c r="AN34" s="655" t="s">
        <v>55</v>
      </c>
      <c r="AO34" s="655" t="s">
        <v>57</v>
      </c>
      <c r="AP34" s="657" t="s">
        <v>59</v>
      </c>
      <c r="AQ34" s="657" t="s">
        <v>61</v>
      </c>
      <c r="AR34" s="657" t="s">
        <v>101</v>
      </c>
      <c r="AS34" s="657" t="s">
        <v>107</v>
      </c>
      <c r="AT34" s="651" t="s">
        <v>143</v>
      </c>
      <c r="AU34" s="651" t="s">
        <v>144</v>
      </c>
      <c r="AV34" s="651" t="s">
        <v>145</v>
      </c>
      <c r="AW34" s="651" t="s">
        <v>146</v>
      </c>
      <c r="AX34" s="643"/>
      <c r="AY34" s="649"/>
    </row>
    <row r="35" spans="1:51" s="199" customFormat="1" ht="12.75" customHeight="1" thickBot="1" x14ac:dyDescent="0.3">
      <c r="A35" s="617"/>
      <c r="B35" s="618"/>
      <c r="C35" s="618"/>
      <c r="D35" s="618"/>
      <c r="E35" s="618"/>
      <c r="F35" s="618"/>
      <c r="G35" s="618"/>
      <c r="H35" s="619"/>
      <c r="I35" s="622"/>
      <c r="J35" s="618"/>
      <c r="K35" s="619"/>
      <c r="L35" s="622"/>
      <c r="M35" s="618"/>
      <c r="N35" s="618"/>
      <c r="O35" s="618"/>
      <c r="P35" s="618"/>
      <c r="Q35" s="618"/>
      <c r="R35" s="618"/>
      <c r="S35" s="619"/>
      <c r="T35" s="633"/>
      <c r="U35" s="633"/>
      <c r="V35" s="633"/>
      <c r="W35" s="635"/>
      <c r="X35" s="627"/>
      <c r="Y35" s="654"/>
      <c r="Z35" s="656"/>
      <c r="AA35" s="656"/>
      <c r="AB35" s="656"/>
      <c r="AC35" s="658"/>
      <c r="AD35" s="658"/>
      <c r="AE35" s="658"/>
      <c r="AF35" s="658"/>
      <c r="AG35" s="652"/>
      <c r="AH35" s="652"/>
      <c r="AI35" s="652"/>
      <c r="AJ35" s="652"/>
      <c r="AK35" s="644"/>
      <c r="AL35" s="656"/>
      <c r="AM35" s="656"/>
      <c r="AN35" s="656"/>
      <c r="AO35" s="656"/>
      <c r="AP35" s="658"/>
      <c r="AQ35" s="658"/>
      <c r="AR35" s="658"/>
      <c r="AS35" s="658"/>
      <c r="AT35" s="652"/>
      <c r="AU35" s="652"/>
      <c r="AV35" s="652"/>
      <c r="AW35" s="652"/>
      <c r="AX35" s="644"/>
      <c r="AY35" s="650"/>
    </row>
    <row r="36" spans="1:51" s="199" customFormat="1" ht="15.75" x14ac:dyDescent="0.25">
      <c r="A36" s="661">
        <v>1</v>
      </c>
      <c r="B36" s="662"/>
      <c r="C36" s="662"/>
      <c r="D36" s="662"/>
      <c r="E36" s="662"/>
      <c r="F36" s="662"/>
      <c r="G36" s="662"/>
      <c r="H36" s="663"/>
      <c r="I36" s="664">
        <v>2</v>
      </c>
      <c r="J36" s="665"/>
      <c r="K36" s="666"/>
      <c r="L36" s="664">
        <v>3</v>
      </c>
      <c r="M36" s="665"/>
      <c r="N36" s="665"/>
      <c r="O36" s="665"/>
      <c r="P36" s="665"/>
      <c r="Q36" s="665"/>
      <c r="R36" s="665"/>
      <c r="S36" s="665"/>
      <c r="T36" s="234">
        <v>4</v>
      </c>
      <c r="U36" s="235">
        <v>5</v>
      </c>
      <c r="V36" s="236">
        <v>6</v>
      </c>
      <c r="W36" s="237" t="s">
        <v>147</v>
      </c>
      <c r="X36" s="237">
        <v>8</v>
      </c>
      <c r="Y36" s="238"/>
      <c r="Z36" s="239"/>
      <c r="AA36" s="239"/>
      <c r="AB36" s="239"/>
      <c r="AC36" s="240"/>
      <c r="AD36" s="240"/>
      <c r="AE36" s="240"/>
      <c r="AF36" s="240"/>
      <c r="AG36" s="241"/>
      <c r="AH36" s="241"/>
      <c r="AI36" s="241"/>
      <c r="AJ36" s="242"/>
      <c r="AK36" s="243"/>
      <c r="AL36" s="244"/>
      <c r="AM36" s="239"/>
      <c r="AN36" s="239"/>
      <c r="AO36" s="239"/>
      <c r="AP36" s="240"/>
      <c r="AQ36" s="240"/>
      <c r="AR36" s="240"/>
      <c r="AS36" s="240"/>
      <c r="AT36" s="241"/>
      <c r="AU36" s="241"/>
      <c r="AV36" s="241"/>
      <c r="AW36" s="242"/>
      <c r="AX36" s="243"/>
      <c r="AY36" s="245"/>
    </row>
    <row r="37" spans="1:51" s="268" customFormat="1" ht="15" customHeight="1" x14ac:dyDescent="0.25">
      <c r="A37" s="246"/>
      <c r="B37" s="247" t="s">
        <v>59</v>
      </c>
      <c r="C37" s="247"/>
      <c r="D37" s="247"/>
      <c r="E37" s="247"/>
      <c r="F37" s="247"/>
      <c r="G37" s="247"/>
      <c r="H37" s="248"/>
      <c r="I37" s="249"/>
      <c r="J37" s="250" t="s">
        <v>148</v>
      </c>
      <c r="K37" s="251"/>
      <c r="L37" s="252"/>
      <c r="M37" s="253"/>
      <c r="N37" s="253"/>
      <c r="O37" s="253"/>
      <c r="P37" s="253"/>
      <c r="Q37" s="253"/>
      <c r="R37" s="253"/>
      <c r="S37" s="253"/>
      <c r="T37" s="254"/>
      <c r="U37" s="254"/>
      <c r="V37" s="255"/>
      <c r="W37" s="256">
        <f>W38</f>
        <v>11100000</v>
      </c>
      <c r="X37" s="257"/>
      <c r="Y37" s="258"/>
      <c r="Z37" s="259"/>
      <c r="AA37" s="260"/>
      <c r="AB37" s="261"/>
      <c r="AC37" s="262"/>
      <c r="AD37" s="262"/>
      <c r="AE37" s="262"/>
      <c r="AF37" s="262"/>
      <c r="AG37" s="263"/>
      <c r="AH37" s="263"/>
      <c r="AI37" s="263"/>
      <c r="AJ37" s="264"/>
      <c r="AK37" s="265"/>
      <c r="AL37" s="266"/>
      <c r="AM37" s="259"/>
      <c r="AN37" s="260"/>
      <c r="AO37" s="261"/>
      <c r="AP37" s="262"/>
      <c r="AQ37" s="262"/>
      <c r="AR37" s="262"/>
      <c r="AS37" s="262"/>
      <c r="AT37" s="263"/>
      <c r="AU37" s="263"/>
      <c r="AV37" s="263"/>
      <c r="AW37" s="264"/>
      <c r="AX37" s="265"/>
      <c r="AY37" s="267"/>
    </row>
    <row r="38" spans="1:51" s="268" customFormat="1" ht="15" customHeight="1" x14ac:dyDescent="0.25">
      <c r="A38" s="269"/>
      <c r="B38" s="270" t="s">
        <v>59</v>
      </c>
      <c r="C38" s="334" t="s">
        <v>50</v>
      </c>
      <c r="D38" s="271"/>
      <c r="E38" s="271"/>
      <c r="F38" s="272"/>
      <c r="G38" s="270"/>
      <c r="H38" s="273"/>
      <c r="I38" s="274"/>
      <c r="J38" s="275" t="s">
        <v>149</v>
      </c>
      <c r="K38" s="276"/>
      <c r="L38" s="277"/>
      <c r="M38" s="278"/>
      <c r="N38" s="278"/>
      <c r="O38" s="278"/>
      <c r="P38" s="278"/>
      <c r="Q38" s="278"/>
      <c r="R38" s="278"/>
      <c r="S38" s="278"/>
      <c r="T38" s="279"/>
      <c r="U38" s="279"/>
      <c r="V38" s="280"/>
      <c r="W38" s="281">
        <f>W48+W39</f>
        <v>11100000</v>
      </c>
      <c r="X38" s="257"/>
      <c r="Y38" s="258"/>
      <c r="Z38" s="259"/>
      <c r="AA38" s="261"/>
      <c r="AB38" s="261"/>
      <c r="AC38" s="262"/>
      <c r="AD38" s="262"/>
      <c r="AE38" s="262"/>
      <c r="AF38" s="262"/>
      <c r="AG38" s="263"/>
      <c r="AH38" s="263"/>
      <c r="AI38" s="263"/>
      <c r="AJ38" s="264"/>
      <c r="AK38" s="265"/>
      <c r="AL38" s="266"/>
      <c r="AM38" s="259"/>
      <c r="AN38" s="261"/>
      <c r="AO38" s="261"/>
      <c r="AP38" s="262"/>
      <c r="AQ38" s="262"/>
      <c r="AR38" s="262"/>
      <c r="AS38" s="262"/>
      <c r="AT38" s="263"/>
      <c r="AU38" s="263"/>
      <c r="AV38" s="263"/>
      <c r="AW38" s="264"/>
      <c r="AX38" s="265"/>
      <c r="AY38" s="267"/>
    </row>
    <row r="39" spans="1:51" s="305" customFormat="1" ht="15" customHeight="1" x14ac:dyDescent="0.25">
      <c r="A39" s="269"/>
      <c r="B39" s="270" t="s">
        <v>59</v>
      </c>
      <c r="C39" s="334" t="s">
        <v>50</v>
      </c>
      <c r="D39" s="271" t="s">
        <v>65</v>
      </c>
      <c r="E39" s="271"/>
      <c r="F39" s="272"/>
      <c r="G39" s="270"/>
      <c r="H39" s="273"/>
      <c r="I39" s="274"/>
      <c r="J39" s="283" t="s">
        <v>758</v>
      </c>
      <c r="K39" s="431"/>
      <c r="L39" s="436"/>
      <c r="M39" s="437"/>
      <c r="N39" s="437"/>
      <c r="O39" s="437"/>
      <c r="P39" s="437"/>
      <c r="Q39" s="437"/>
      <c r="R39" s="437"/>
      <c r="S39" s="437"/>
      <c r="T39" s="438"/>
      <c r="U39" s="438"/>
      <c r="V39" s="439"/>
      <c r="W39" s="281">
        <f>W40</f>
        <v>4200000</v>
      </c>
      <c r="X39" s="257"/>
      <c r="Y39" s="297"/>
      <c r="Z39" s="259"/>
      <c r="AA39" s="298"/>
      <c r="AB39" s="298"/>
      <c r="AC39" s="299"/>
      <c r="AD39" s="299"/>
      <c r="AE39" s="299"/>
      <c r="AF39" s="299"/>
      <c r="AG39" s="300"/>
      <c r="AH39" s="300"/>
      <c r="AI39" s="300"/>
      <c r="AJ39" s="301"/>
      <c r="AK39" s="302"/>
      <c r="AL39" s="303"/>
      <c r="AM39" s="259"/>
      <c r="AN39" s="298"/>
      <c r="AO39" s="298"/>
      <c r="AP39" s="299"/>
      <c r="AQ39" s="299"/>
      <c r="AR39" s="299"/>
      <c r="AS39" s="299"/>
      <c r="AT39" s="300"/>
      <c r="AU39" s="300"/>
      <c r="AV39" s="300"/>
      <c r="AW39" s="301"/>
      <c r="AX39" s="302"/>
      <c r="AY39" s="304"/>
    </row>
    <row r="40" spans="1:51" s="305" customFormat="1" ht="15" customHeight="1" x14ac:dyDescent="0.25">
      <c r="A40" s="269"/>
      <c r="B40" s="270" t="s">
        <v>59</v>
      </c>
      <c r="C40" s="334" t="s">
        <v>50</v>
      </c>
      <c r="D40" s="271" t="s">
        <v>65</v>
      </c>
      <c r="E40" s="271" t="s">
        <v>693</v>
      </c>
      <c r="F40" s="272"/>
      <c r="G40" s="270"/>
      <c r="H40" s="273"/>
      <c r="I40" s="274"/>
      <c r="J40" s="283" t="s">
        <v>759</v>
      </c>
      <c r="K40" s="431"/>
      <c r="L40" s="436"/>
      <c r="M40" s="437"/>
      <c r="N40" s="437"/>
      <c r="O40" s="437"/>
      <c r="P40" s="437"/>
      <c r="Q40" s="437"/>
      <c r="R40" s="437"/>
      <c r="S40" s="437"/>
      <c r="T40" s="438"/>
      <c r="U40" s="438"/>
      <c r="V40" s="439"/>
      <c r="W40" s="281">
        <f>W41</f>
        <v>4200000</v>
      </c>
      <c r="X40" s="257"/>
      <c r="Y40" s="297"/>
      <c r="Z40" s="259"/>
      <c r="AA40" s="298"/>
      <c r="AB40" s="298"/>
      <c r="AC40" s="299"/>
      <c r="AD40" s="299"/>
      <c r="AE40" s="299"/>
      <c r="AF40" s="299"/>
      <c r="AG40" s="300"/>
      <c r="AH40" s="300"/>
      <c r="AI40" s="300"/>
      <c r="AJ40" s="301"/>
      <c r="AK40" s="302"/>
      <c r="AL40" s="303"/>
      <c r="AM40" s="259"/>
      <c r="AN40" s="298"/>
      <c r="AO40" s="298"/>
      <c r="AP40" s="299"/>
      <c r="AQ40" s="299"/>
      <c r="AR40" s="299"/>
      <c r="AS40" s="299"/>
      <c r="AT40" s="300"/>
      <c r="AU40" s="300"/>
      <c r="AV40" s="300"/>
      <c r="AW40" s="301"/>
      <c r="AX40" s="302"/>
      <c r="AY40" s="304"/>
    </row>
    <row r="41" spans="1:51" s="305" customFormat="1" ht="15" customHeight="1" x14ac:dyDescent="0.25">
      <c r="A41" s="269"/>
      <c r="B41" s="270" t="s">
        <v>59</v>
      </c>
      <c r="C41" s="334" t="s">
        <v>50</v>
      </c>
      <c r="D41" s="271" t="s">
        <v>65</v>
      </c>
      <c r="E41" s="271" t="s">
        <v>693</v>
      </c>
      <c r="F41" s="270" t="s">
        <v>760</v>
      </c>
      <c r="G41" s="270"/>
      <c r="H41" s="273"/>
      <c r="I41" s="274"/>
      <c r="J41" s="283" t="s">
        <v>761</v>
      </c>
      <c r="K41" s="431"/>
      <c r="L41" s="436"/>
      <c r="M41" s="437"/>
      <c r="N41" s="437"/>
      <c r="O41" s="437"/>
      <c r="P41" s="437"/>
      <c r="Q41" s="437"/>
      <c r="R41" s="437"/>
      <c r="S41" s="437"/>
      <c r="T41" s="438"/>
      <c r="U41" s="438"/>
      <c r="V41" s="439"/>
      <c r="W41" s="281">
        <f>W45+W42</f>
        <v>4200000</v>
      </c>
      <c r="X41" s="257"/>
      <c r="Y41" s="297"/>
      <c r="Z41" s="259"/>
      <c r="AA41" s="298"/>
      <c r="AB41" s="298"/>
      <c r="AC41" s="299"/>
      <c r="AD41" s="299"/>
      <c r="AE41" s="299"/>
      <c r="AF41" s="299"/>
      <c r="AG41" s="300"/>
      <c r="AH41" s="300"/>
      <c r="AI41" s="300"/>
      <c r="AJ41" s="301"/>
      <c r="AK41" s="302"/>
      <c r="AL41" s="303"/>
      <c r="AM41" s="259"/>
      <c r="AN41" s="298"/>
      <c r="AO41" s="298"/>
      <c r="AP41" s="299"/>
      <c r="AQ41" s="299"/>
      <c r="AR41" s="299"/>
      <c r="AS41" s="299"/>
      <c r="AT41" s="300"/>
      <c r="AU41" s="300"/>
      <c r="AV41" s="300"/>
      <c r="AW41" s="301"/>
      <c r="AX41" s="302"/>
      <c r="AY41" s="304"/>
    </row>
    <row r="42" spans="1:51" s="330" customFormat="1" ht="15" customHeight="1" x14ac:dyDescent="0.25">
      <c r="A42" s="306"/>
      <c r="B42" s="307" t="s">
        <v>59</v>
      </c>
      <c r="C42" s="310" t="s">
        <v>50</v>
      </c>
      <c r="D42" s="308" t="s">
        <v>65</v>
      </c>
      <c r="E42" s="308" t="s">
        <v>693</v>
      </c>
      <c r="F42" s="307" t="s">
        <v>760</v>
      </c>
      <c r="G42" s="307" t="s">
        <v>562</v>
      </c>
      <c r="H42" s="311"/>
      <c r="I42" s="433"/>
      <c r="J42" s="331" t="s">
        <v>762</v>
      </c>
      <c r="K42" s="276"/>
      <c r="L42" s="277"/>
      <c r="M42" s="278"/>
      <c r="N42" s="278"/>
      <c r="O42" s="278"/>
      <c r="P42" s="278"/>
      <c r="Q42" s="278"/>
      <c r="R42" s="278"/>
      <c r="S42" s="278"/>
      <c r="T42" s="279"/>
      <c r="U42" s="279"/>
      <c r="V42" s="280"/>
      <c r="W42" s="346">
        <f>W43</f>
        <v>2400000</v>
      </c>
      <c r="X42" s="430"/>
      <c r="Y42" s="321"/>
      <c r="Z42" s="322"/>
      <c r="AA42" s="323"/>
      <c r="AB42" s="323"/>
      <c r="AC42" s="324"/>
      <c r="AD42" s="324"/>
      <c r="AE42" s="324"/>
      <c r="AF42" s="324"/>
      <c r="AG42" s="325"/>
      <c r="AH42" s="325"/>
      <c r="AI42" s="325"/>
      <c r="AJ42" s="326"/>
      <c r="AK42" s="327"/>
      <c r="AL42" s="328"/>
      <c r="AM42" s="322"/>
      <c r="AN42" s="323"/>
      <c r="AO42" s="323"/>
      <c r="AP42" s="324"/>
      <c r="AQ42" s="324"/>
      <c r="AR42" s="324"/>
      <c r="AS42" s="324"/>
      <c r="AT42" s="325"/>
      <c r="AU42" s="325"/>
      <c r="AV42" s="325"/>
      <c r="AW42" s="326"/>
      <c r="AX42" s="327"/>
      <c r="AY42" s="329"/>
    </row>
    <row r="43" spans="1:51" s="330" customFormat="1" ht="15" customHeight="1" x14ac:dyDescent="0.25">
      <c r="A43" s="306"/>
      <c r="B43" s="307"/>
      <c r="C43" s="310"/>
      <c r="D43" s="308"/>
      <c r="E43" s="308"/>
      <c r="F43" s="432"/>
      <c r="G43" s="307"/>
      <c r="H43" s="311"/>
      <c r="I43" s="433"/>
      <c r="J43" s="331" t="s">
        <v>763</v>
      </c>
      <c r="K43" s="276"/>
      <c r="L43" s="277"/>
      <c r="M43" s="278"/>
      <c r="N43" s="278"/>
      <c r="O43" s="316">
        <v>1</v>
      </c>
      <c r="P43" s="316" t="s">
        <v>656</v>
      </c>
      <c r="Q43" s="316" t="s">
        <v>658</v>
      </c>
      <c r="R43" s="316">
        <v>12</v>
      </c>
      <c r="S43" s="316" t="s">
        <v>155</v>
      </c>
      <c r="T43" s="317">
        <f>O43*R43</f>
        <v>12</v>
      </c>
      <c r="U43" s="317" t="s">
        <v>657</v>
      </c>
      <c r="V43" s="318">
        <v>200000</v>
      </c>
      <c r="W43" s="484">
        <f>T43*V43</f>
        <v>2400000</v>
      </c>
      <c r="X43" s="320" t="s">
        <v>649</v>
      </c>
      <c r="Y43" s="321">
        <v>200000</v>
      </c>
      <c r="Z43" s="322">
        <v>200000</v>
      </c>
      <c r="AA43" s="323">
        <v>200000</v>
      </c>
      <c r="AB43" s="323">
        <v>200000</v>
      </c>
      <c r="AC43" s="324">
        <v>200000</v>
      </c>
      <c r="AD43" s="324">
        <v>200000</v>
      </c>
      <c r="AE43" s="324">
        <v>200000</v>
      </c>
      <c r="AF43" s="324">
        <v>200000</v>
      </c>
      <c r="AG43" s="325">
        <v>200000</v>
      </c>
      <c r="AH43" s="325">
        <v>200000</v>
      </c>
      <c r="AI43" s="325">
        <v>200000</v>
      </c>
      <c r="AJ43" s="326">
        <v>200000</v>
      </c>
      <c r="AK43" s="332">
        <f t="shared" ref="AK43" si="0">SUM(Y43:AJ43)</f>
        <v>2400000</v>
      </c>
      <c r="AL43" s="328"/>
      <c r="AM43" s="322"/>
      <c r="AN43" s="323"/>
      <c r="AO43" s="323"/>
      <c r="AP43" s="324"/>
      <c r="AQ43" s="324"/>
      <c r="AR43" s="324"/>
      <c r="AS43" s="324"/>
      <c r="AT43" s="325"/>
      <c r="AU43" s="325"/>
      <c r="AV43" s="325"/>
      <c r="AW43" s="326"/>
      <c r="AX43" s="332">
        <f t="shared" ref="AX43" si="1">SUM(AL43:AW43)</f>
        <v>0</v>
      </c>
      <c r="AY43" s="333">
        <f t="shared" ref="AY43" si="2">AK43-AX43</f>
        <v>2400000</v>
      </c>
    </row>
    <row r="44" spans="1:51" s="330" customFormat="1" ht="15" customHeight="1" x14ac:dyDescent="0.25">
      <c r="A44" s="306"/>
      <c r="B44" s="307"/>
      <c r="C44" s="310"/>
      <c r="D44" s="308"/>
      <c r="E44" s="308"/>
      <c r="F44" s="432"/>
      <c r="G44" s="307"/>
      <c r="H44" s="311"/>
      <c r="I44" s="433"/>
      <c r="J44" s="331"/>
      <c r="K44" s="276"/>
      <c r="L44" s="277"/>
      <c r="M44" s="278"/>
      <c r="N44" s="278"/>
      <c r="O44" s="278"/>
      <c r="P44" s="278"/>
      <c r="Q44" s="278"/>
      <c r="R44" s="278"/>
      <c r="S44" s="278"/>
      <c r="T44" s="279"/>
      <c r="U44" s="279"/>
      <c r="V44" s="280"/>
      <c r="W44" s="346"/>
      <c r="X44" s="430"/>
      <c r="Y44" s="321"/>
      <c r="Z44" s="322"/>
      <c r="AA44" s="323"/>
      <c r="AB44" s="323"/>
      <c r="AC44" s="324"/>
      <c r="AD44" s="324"/>
      <c r="AE44" s="324"/>
      <c r="AF44" s="324"/>
      <c r="AG44" s="325"/>
      <c r="AH44" s="325"/>
      <c r="AI44" s="325"/>
      <c r="AJ44" s="326"/>
      <c r="AK44" s="327"/>
      <c r="AL44" s="328"/>
      <c r="AM44" s="322"/>
      <c r="AN44" s="323"/>
      <c r="AO44" s="323"/>
      <c r="AP44" s="324"/>
      <c r="AQ44" s="324"/>
      <c r="AR44" s="324"/>
      <c r="AS44" s="324"/>
      <c r="AT44" s="325"/>
      <c r="AU44" s="325"/>
      <c r="AV44" s="325"/>
      <c r="AW44" s="326"/>
      <c r="AX44" s="327"/>
      <c r="AY44" s="329"/>
    </row>
    <row r="45" spans="1:51" s="330" customFormat="1" ht="15" customHeight="1" x14ac:dyDescent="0.25">
      <c r="A45" s="306"/>
      <c r="B45" s="307" t="s">
        <v>59</v>
      </c>
      <c r="C45" s="310" t="s">
        <v>50</v>
      </c>
      <c r="D45" s="308" t="s">
        <v>65</v>
      </c>
      <c r="E45" s="308" t="s">
        <v>693</v>
      </c>
      <c r="F45" s="307" t="s">
        <v>760</v>
      </c>
      <c r="G45" s="307" t="s">
        <v>624</v>
      </c>
      <c r="H45" s="311"/>
      <c r="I45" s="433"/>
      <c r="J45" s="331" t="s">
        <v>764</v>
      </c>
      <c r="K45" s="276"/>
      <c r="L45" s="277"/>
      <c r="M45" s="278"/>
      <c r="N45" s="278"/>
      <c r="O45" s="278"/>
      <c r="P45" s="278"/>
      <c r="Q45" s="278"/>
      <c r="R45" s="278"/>
      <c r="S45" s="278"/>
      <c r="T45" s="279"/>
      <c r="U45" s="279"/>
      <c r="V45" s="280"/>
      <c r="W45" s="346">
        <f>W46</f>
        <v>1800000</v>
      </c>
      <c r="X45" s="430"/>
      <c r="Y45" s="321"/>
      <c r="Z45" s="322"/>
      <c r="AA45" s="323"/>
      <c r="AB45" s="323"/>
      <c r="AC45" s="324"/>
      <c r="AD45" s="324"/>
      <c r="AE45" s="324"/>
      <c r="AF45" s="324"/>
      <c r="AG45" s="325"/>
      <c r="AH45" s="325"/>
      <c r="AI45" s="325"/>
      <c r="AJ45" s="326"/>
      <c r="AK45" s="327"/>
      <c r="AL45" s="328"/>
      <c r="AM45" s="322"/>
      <c r="AN45" s="323"/>
      <c r="AO45" s="323"/>
      <c r="AP45" s="324"/>
      <c r="AQ45" s="324"/>
      <c r="AR45" s="324"/>
      <c r="AS45" s="324"/>
      <c r="AT45" s="325"/>
      <c r="AU45" s="325"/>
      <c r="AV45" s="325"/>
      <c r="AW45" s="326"/>
      <c r="AX45" s="327"/>
      <c r="AY45" s="329"/>
    </row>
    <row r="46" spans="1:51" s="330" customFormat="1" ht="15" customHeight="1" x14ac:dyDescent="0.25">
      <c r="A46" s="306"/>
      <c r="B46" s="307"/>
      <c r="C46" s="310"/>
      <c r="D46" s="308"/>
      <c r="E46" s="308"/>
      <c r="F46" s="307"/>
      <c r="G46" s="307"/>
      <c r="H46" s="311"/>
      <c r="I46" s="433"/>
      <c r="J46" s="331" t="s">
        <v>765</v>
      </c>
      <c r="K46" s="276"/>
      <c r="L46" s="277"/>
      <c r="M46" s="278"/>
      <c r="N46" s="278"/>
      <c r="O46" s="316">
        <v>1</v>
      </c>
      <c r="P46" s="316" t="s">
        <v>656</v>
      </c>
      <c r="Q46" s="316" t="s">
        <v>658</v>
      </c>
      <c r="R46" s="316">
        <v>12</v>
      </c>
      <c r="S46" s="316" t="s">
        <v>155</v>
      </c>
      <c r="T46" s="317">
        <f>O46*R46</f>
        <v>12</v>
      </c>
      <c r="U46" s="317" t="s">
        <v>657</v>
      </c>
      <c r="V46" s="318">
        <v>150000</v>
      </c>
      <c r="W46" s="484">
        <f>T46*V46</f>
        <v>1800000</v>
      </c>
      <c r="X46" s="320" t="s">
        <v>649</v>
      </c>
      <c r="Y46" s="321">
        <v>150000</v>
      </c>
      <c r="Z46" s="322">
        <v>150000</v>
      </c>
      <c r="AA46" s="323">
        <v>150000</v>
      </c>
      <c r="AB46" s="323">
        <v>150000</v>
      </c>
      <c r="AC46" s="324">
        <v>150000</v>
      </c>
      <c r="AD46" s="324">
        <v>150000</v>
      </c>
      <c r="AE46" s="324">
        <v>150000</v>
      </c>
      <c r="AF46" s="324">
        <v>150000</v>
      </c>
      <c r="AG46" s="325">
        <v>150000</v>
      </c>
      <c r="AH46" s="325">
        <v>150000</v>
      </c>
      <c r="AI46" s="325">
        <v>150000</v>
      </c>
      <c r="AJ46" s="326">
        <v>150000</v>
      </c>
      <c r="AK46" s="332">
        <f t="shared" ref="AK46" si="3">SUM(Y46:AJ46)</f>
        <v>1800000</v>
      </c>
      <c r="AL46" s="328"/>
      <c r="AM46" s="322"/>
      <c r="AN46" s="323"/>
      <c r="AO46" s="323"/>
      <c r="AP46" s="324"/>
      <c r="AQ46" s="324"/>
      <c r="AR46" s="324"/>
      <c r="AS46" s="324"/>
      <c r="AT46" s="325"/>
      <c r="AU46" s="325"/>
      <c r="AV46" s="325"/>
      <c r="AW46" s="326"/>
      <c r="AX46" s="332">
        <f t="shared" ref="AX46" si="4">SUM(AL46:AW46)</f>
        <v>0</v>
      </c>
      <c r="AY46" s="333">
        <f t="shared" ref="AY46" si="5">AK46-AX46</f>
        <v>1800000</v>
      </c>
    </row>
    <row r="47" spans="1:51" s="330" customFormat="1" ht="15" customHeight="1" x14ac:dyDescent="0.25">
      <c r="A47" s="306"/>
      <c r="B47" s="307"/>
      <c r="C47" s="310"/>
      <c r="D47" s="308"/>
      <c r="E47" s="308"/>
      <c r="F47" s="432"/>
      <c r="G47" s="307"/>
      <c r="H47" s="311"/>
      <c r="I47" s="433"/>
      <c r="J47" s="331"/>
      <c r="K47" s="276"/>
      <c r="L47" s="277"/>
      <c r="M47" s="278"/>
      <c r="N47" s="278"/>
      <c r="O47" s="278"/>
      <c r="P47" s="278"/>
      <c r="Q47" s="278"/>
      <c r="R47" s="278"/>
      <c r="S47" s="278"/>
      <c r="T47" s="279"/>
      <c r="U47" s="279"/>
      <c r="V47" s="280"/>
      <c r="W47" s="346"/>
      <c r="X47" s="430"/>
      <c r="Y47" s="321"/>
      <c r="Z47" s="322"/>
      <c r="AA47" s="323"/>
      <c r="AB47" s="323"/>
      <c r="AC47" s="324"/>
      <c r="AD47" s="324"/>
      <c r="AE47" s="324"/>
      <c r="AF47" s="324"/>
      <c r="AG47" s="325"/>
      <c r="AH47" s="325"/>
      <c r="AI47" s="325"/>
      <c r="AJ47" s="326"/>
      <c r="AK47" s="327"/>
      <c r="AL47" s="328"/>
      <c r="AM47" s="322"/>
      <c r="AN47" s="323"/>
      <c r="AO47" s="323"/>
      <c r="AP47" s="324"/>
      <c r="AQ47" s="324"/>
      <c r="AR47" s="324"/>
      <c r="AS47" s="324"/>
      <c r="AT47" s="325"/>
      <c r="AU47" s="325"/>
      <c r="AV47" s="325"/>
      <c r="AW47" s="326"/>
      <c r="AX47" s="327"/>
      <c r="AY47" s="329"/>
    </row>
    <row r="48" spans="1:51" s="268" customFormat="1" ht="15" customHeight="1" x14ac:dyDescent="0.25">
      <c r="A48" s="269"/>
      <c r="B48" s="270" t="s">
        <v>59</v>
      </c>
      <c r="C48" s="334" t="s">
        <v>50</v>
      </c>
      <c r="D48" s="288" t="s">
        <v>67</v>
      </c>
      <c r="E48" s="271"/>
      <c r="F48" s="271"/>
      <c r="G48" s="270"/>
      <c r="H48" s="273"/>
      <c r="I48" s="282"/>
      <c r="J48" s="283" t="s">
        <v>150</v>
      </c>
      <c r="K48" s="284"/>
      <c r="L48" s="285"/>
      <c r="M48" s="286"/>
      <c r="N48" s="286"/>
      <c r="O48" s="286"/>
      <c r="P48" s="286"/>
      <c r="Q48" s="286"/>
      <c r="R48" s="286"/>
      <c r="S48" s="286"/>
      <c r="T48" s="279"/>
      <c r="U48" s="279"/>
      <c r="V48" s="280"/>
      <c r="W48" s="281">
        <f>W49</f>
        <v>6900000</v>
      </c>
      <c r="X48" s="287"/>
      <c r="Y48" s="258"/>
      <c r="Z48" s="259"/>
      <c r="AA48" s="261"/>
      <c r="AB48" s="261"/>
      <c r="AC48" s="262"/>
      <c r="AD48" s="262"/>
      <c r="AE48" s="262"/>
      <c r="AF48" s="262"/>
      <c r="AG48" s="263"/>
      <c r="AH48" s="263"/>
      <c r="AI48" s="263"/>
      <c r="AJ48" s="264"/>
      <c r="AK48" s="265"/>
      <c r="AL48" s="266"/>
      <c r="AM48" s="259"/>
      <c r="AN48" s="261"/>
      <c r="AO48" s="261"/>
      <c r="AP48" s="262"/>
      <c r="AQ48" s="262"/>
      <c r="AR48" s="262"/>
      <c r="AS48" s="262"/>
      <c r="AT48" s="263"/>
      <c r="AU48" s="263"/>
      <c r="AV48" s="263"/>
      <c r="AW48" s="264"/>
      <c r="AX48" s="265"/>
      <c r="AY48" s="267"/>
    </row>
    <row r="49" spans="1:51" s="305" customFormat="1" ht="15" customHeight="1" x14ac:dyDescent="0.25">
      <c r="A49" s="269"/>
      <c r="B49" s="270" t="s">
        <v>59</v>
      </c>
      <c r="C49" s="270" t="s">
        <v>50</v>
      </c>
      <c r="D49" s="288" t="s">
        <v>67</v>
      </c>
      <c r="E49" s="288" t="s">
        <v>67</v>
      </c>
      <c r="F49" s="271"/>
      <c r="G49" s="270"/>
      <c r="H49" s="273"/>
      <c r="I49" s="289"/>
      <c r="J49" s="275" t="s">
        <v>153</v>
      </c>
      <c r="K49" s="290"/>
      <c r="L49" s="291"/>
      <c r="M49" s="292"/>
      <c r="N49" s="292"/>
      <c r="O49" s="292"/>
      <c r="P49" s="292"/>
      <c r="Q49" s="292"/>
      <c r="R49" s="292"/>
      <c r="S49" s="292"/>
      <c r="T49" s="293"/>
      <c r="U49" s="293"/>
      <c r="V49" s="294"/>
      <c r="W49" s="295">
        <f>W50</f>
        <v>6900000</v>
      </c>
      <c r="X49" s="296"/>
      <c r="Y49" s="297"/>
      <c r="Z49" s="259"/>
      <c r="AA49" s="298"/>
      <c r="AB49" s="298"/>
      <c r="AC49" s="299"/>
      <c r="AD49" s="299"/>
      <c r="AE49" s="299"/>
      <c r="AF49" s="299"/>
      <c r="AG49" s="300"/>
      <c r="AH49" s="300"/>
      <c r="AI49" s="300"/>
      <c r="AJ49" s="301"/>
      <c r="AK49" s="302"/>
      <c r="AL49" s="303"/>
      <c r="AM49" s="259"/>
      <c r="AN49" s="298"/>
      <c r="AO49" s="298"/>
      <c r="AP49" s="299"/>
      <c r="AQ49" s="299"/>
      <c r="AR49" s="299"/>
      <c r="AS49" s="299"/>
      <c r="AT49" s="300"/>
      <c r="AU49" s="300"/>
      <c r="AV49" s="300"/>
      <c r="AW49" s="301"/>
      <c r="AX49" s="302"/>
      <c r="AY49" s="304"/>
    </row>
    <row r="50" spans="1:51" s="305" customFormat="1" ht="15" customHeight="1" x14ac:dyDescent="0.25">
      <c r="A50" s="269"/>
      <c r="B50" s="270" t="s">
        <v>59</v>
      </c>
      <c r="C50" s="270" t="s">
        <v>50</v>
      </c>
      <c r="D50" s="288" t="s">
        <v>67</v>
      </c>
      <c r="E50" s="288" t="s">
        <v>67</v>
      </c>
      <c r="F50" s="271" t="s">
        <v>65</v>
      </c>
      <c r="G50" s="270"/>
      <c r="H50" s="273"/>
      <c r="I50" s="289"/>
      <c r="J50" s="275" t="s">
        <v>154</v>
      </c>
      <c r="K50" s="290"/>
      <c r="L50" s="291"/>
      <c r="M50" s="292"/>
      <c r="N50" s="292"/>
      <c r="O50" s="292"/>
      <c r="P50" s="292"/>
      <c r="Q50" s="292"/>
      <c r="R50" s="292"/>
      <c r="S50" s="292"/>
      <c r="T50" s="293"/>
      <c r="U50" s="293"/>
      <c r="V50" s="294"/>
      <c r="W50" s="295">
        <f>W51</f>
        <v>6900000</v>
      </c>
      <c r="X50" s="296"/>
      <c r="Y50" s="297"/>
      <c r="Z50" s="259"/>
      <c r="AA50" s="298"/>
      <c r="AB50" s="298"/>
      <c r="AC50" s="299"/>
      <c r="AD50" s="299"/>
      <c r="AE50" s="299"/>
      <c r="AF50" s="299"/>
      <c r="AG50" s="300"/>
      <c r="AH50" s="300"/>
      <c r="AI50" s="300"/>
      <c r="AJ50" s="301"/>
      <c r="AK50" s="302"/>
      <c r="AL50" s="303"/>
      <c r="AM50" s="259"/>
      <c r="AN50" s="298"/>
      <c r="AO50" s="298"/>
      <c r="AP50" s="299"/>
      <c r="AQ50" s="299"/>
      <c r="AR50" s="299"/>
      <c r="AS50" s="299"/>
      <c r="AT50" s="300"/>
      <c r="AU50" s="300"/>
      <c r="AV50" s="300"/>
      <c r="AW50" s="301"/>
      <c r="AX50" s="302"/>
      <c r="AY50" s="304"/>
    </row>
    <row r="51" spans="1:51" s="330" customFormat="1" ht="15" customHeight="1" x14ac:dyDescent="0.25">
      <c r="A51" s="306"/>
      <c r="B51" s="307" t="s">
        <v>59</v>
      </c>
      <c r="C51" s="307" t="s">
        <v>50</v>
      </c>
      <c r="D51" s="309" t="s">
        <v>67</v>
      </c>
      <c r="E51" s="309" t="s">
        <v>67</v>
      </c>
      <c r="F51" s="308" t="s">
        <v>65</v>
      </c>
      <c r="G51" s="310" t="s">
        <v>667</v>
      </c>
      <c r="H51" s="311"/>
      <c r="I51" s="312"/>
      <c r="J51" s="313" t="s">
        <v>668</v>
      </c>
      <c r="K51" s="314"/>
      <c r="L51" s="315"/>
      <c r="M51" s="316"/>
      <c r="N51" s="316"/>
      <c r="O51" s="316"/>
      <c r="P51" s="316"/>
      <c r="Q51" s="316"/>
      <c r="R51" s="316"/>
      <c r="S51" s="316"/>
      <c r="T51" s="317"/>
      <c r="U51" s="317"/>
      <c r="V51" s="318"/>
      <c r="W51" s="319">
        <f>SUM(W52:W53)</f>
        <v>6900000</v>
      </c>
      <c r="X51" s="320"/>
      <c r="Y51" s="321"/>
      <c r="Z51" s="322"/>
      <c r="AA51" s="323"/>
      <c r="AB51" s="323"/>
      <c r="AC51" s="324"/>
      <c r="AD51" s="324"/>
      <c r="AE51" s="324"/>
      <c r="AF51" s="324"/>
      <c r="AG51" s="325"/>
      <c r="AH51" s="325"/>
      <c r="AI51" s="325"/>
      <c r="AJ51" s="326"/>
      <c r="AK51" s="327"/>
      <c r="AL51" s="328"/>
      <c r="AM51" s="322"/>
      <c r="AN51" s="323"/>
      <c r="AO51" s="323"/>
      <c r="AP51" s="324"/>
      <c r="AQ51" s="324"/>
      <c r="AR51" s="324"/>
      <c r="AS51" s="324"/>
      <c r="AT51" s="325"/>
      <c r="AU51" s="325"/>
      <c r="AV51" s="325"/>
      <c r="AW51" s="326"/>
      <c r="AX51" s="327"/>
      <c r="AY51" s="329"/>
    </row>
    <row r="52" spans="1:51" s="330" customFormat="1" ht="15" customHeight="1" x14ac:dyDescent="0.25">
      <c r="A52" s="306"/>
      <c r="B52" s="307"/>
      <c r="C52" s="307"/>
      <c r="D52" s="308"/>
      <c r="E52" s="308"/>
      <c r="F52" s="308"/>
      <c r="G52" s="307"/>
      <c r="H52" s="311"/>
      <c r="I52" s="312"/>
      <c r="J52" s="331" t="s">
        <v>735</v>
      </c>
      <c r="K52" s="314"/>
      <c r="L52" s="315"/>
      <c r="M52" s="316"/>
      <c r="N52" s="316"/>
      <c r="O52" s="316">
        <v>4</v>
      </c>
      <c r="P52" s="316" t="s">
        <v>656</v>
      </c>
      <c r="Q52" s="316" t="s">
        <v>658</v>
      </c>
      <c r="R52" s="316">
        <v>12</v>
      </c>
      <c r="S52" s="316" t="s">
        <v>155</v>
      </c>
      <c r="T52" s="317">
        <f>O52*R52</f>
        <v>48</v>
      </c>
      <c r="U52" s="317" t="s">
        <v>657</v>
      </c>
      <c r="V52" s="318">
        <v>100000</v>
      </c>
      <c r="W52" s="484">
        <f>T52*V52</f>
        <v>4800000</v>
      </c>
      <c r="X52" s="320" t="s">
        <v>649</v>
      </c>
      <c r="Y52" s="321">
        <v>400000</v>
      </c>
      <c r="Z52" s="322">
        <v>400000</v>
      </c>
      <c r="AA52" s="323">
        <v>400000</v>
      </c>
      <c r="AB52" s="323">
        <v>400000</v>
      </c>
      <c r="AC52" s="324">
        <v>400000</v>
      </c>
      <c r="AD52" s="324">
        <v>400000</v>
      </c>
      <c r="AE52" s="324">
        <v>400000</v>
      </c>
      <c r="AF52" s="324">
        <v>400000</v>
      </c>
      <c r="AG52" s="325">
        <v>400000</v>
      </c>
      <c r="AH52" s="325">
        <v>400000</v>
      </c>
      <c r="AI52" s="325">
        <v>400000</v>
      </c>
      <c r="AJ52" s="326">
        <v>400000</v>
      </c>
      <c r="AK52" s="332">
        <f t="shared" ref="AK52:AK53" si="6">SUM(Y52:AJ52)</f>
        <v>4800000</v>
      </c>
      <c r="AL52" s="328"/>
      <c r="AM52" s="322"/>
      <c r="AN52" s="323"/>
      <c r="AO52" s="323"/>
      <c r="AP52" s="324"/>
      <c r="AQ52" s="324"/>
      <c r="AR52" s="324"/>
      <c r="AS52" s="324"/>
      <c r="AT52" s="325"/>
      <c r="AU52" s="325"/>
      <c r="AV52" s="325"/>
      <c r="AW52" s="326"/>
      <c r="AX52" s="332">
        <f t="shared" ref="AX52" si="7">SUM(AL52:AW52)</f>
        <v>0</v>
      </c>
      <c r="AY52" s="333">
        <f t="shared" ref="AY52" si="8">AK52-AX52</f>
        <v>4800000</v>
      </c>
    </row>
    <row r="53" spans="1:51" s="330" customFormat="1" ht="15" customHeight="1" x14ac:dyDescent="0.25">
      <c r="A53" s="306"/>
      <c r="B53" s="307"/>
      <c r="C53" s="307"/>
      <c r="D53" s="309"/>
      <c r="E53" s="309"/>
      <c r="F53" s="308"/>
      <c r="G53" s="310"/>
      <c r="H53" s="311"/>
      <c r="I53" s="312"/>
      <c r="J53" s="331" t="s">
        <v>736</v>
      </c>
      <c r="K53" s="314"/>
      <c r="L53" s="315"/>
      <c r="M53" s="316"/>
      <c r="N53" s="316"/>
      <c r="O53" s="316">
        <v>1</v>
      </c>
      <c r="P53" s="316" t="s">
        <v>656</v>
      </c>
      <c r="Q53" s="316" t="s">
        <v>658</v>
      </c>
      <c r="R53" s="316">
        <v>12</v>
      </c>
      <c r="S53" s="316" t="s">
        <v>155</v>
      </c>
      <c r="T53" s="317">
        <f>O53*R53</f>
        <v>12</v>
      </c>
      <c r="U53" s="317" t="s">
        <v>657</v>
      </c>
      <c r="V53" s="318">
        <v>175000</v>
      </c>
      <c r="W53" s="484">
        <f>T53*V53</f>
        <v>2100000</v>
      </c>
      <c r="X53" s="320" t="s">
        <v>649</v>
      </c>
      <c r="Y53" s="321">
        <v>175000</v>
      </c>
      <c r="Z53" s="322">
        <v>175000</v>
      </c>
      <c r="AA53" s="323">
        <v>175000</v>
      </c>
      <c r="AB53" s="323">
        <v>175000</v>
      </c>
      <c r="AC53" s="324">
        <v>175000</v>
      </c>
      <c r="AD53" s="324">
        <v>175000</v>
      </c>
      <c r="AE53" s="324">
        <v>175000</v>
      </c>
      <c r="AF53" s="324">
        <v>175000</v>
      </c>
      <c r="AG53" s="325">
        <v>175000</v>
      </c>
      <c r="AH53" s="325">
        <v>175000</v>
      </c>
      <c r="AI53" s="325">
        <v>175000</v>
      </c>
      <c r="AJ53" s="326">
        <v>175000</v>
      </c>
      <c r="AK53" s="332">
        <f t="shared" si="6"/>
        <v>2100000</v>
      </c>
      <c r="AL53" s="328"/>
      <c r="AM53" s="322"/>
      <c r="AN53" s="323"/>
      <c r="AO53" s="323"/>
      <c r="AP53" s="324"/>
      <c r="AQ53" s="324"/>
      <c r="AR53" s="324"/>
      <c r="AS53" s="324"/>
      <c r="AT53" s="325"/>
      <c r="AU53" s="325"/>
      <c r="AV53" s="325"/>
      <c r="AW53" s="326"/>
      <c r="AX53" s="332">
        <f t="shared" ref="AX53" si="9">SUM(AL53:AW53)</f>
        <v>0</v>
      </c>
      <c r="AY53" s="333">
        <f t="shared" ref="AY53" si="10">AK53-AX53</f>
        <v>2100000</v>
      </c>
    </row>
    <row r="54" spans="1:51" s="330" customFormat="1" ht="15" customHeight="1" thickBot="1" x14ac:dyDescent="0.3">
      <c r="A54" s="306"/>
      <c r="B54" s="307"/>
      <c r="C54" s="307"/>
      <c r="D54" s="308"/>
      <c r="E54" s="308"/>
      <c r="F54" s="308"/>
      <c r="G54" s="307"/>
      <c r="H54" s="311"/>
      <c r="I54" s="312"/>
      <c r="J54" s="331"/>
      <c r="K54" s="314"/>
      <c r="L54" s="315"/>
      <c r="M54" s="316"/>
      <c r="N54" s="316"/>
      <c r="O54" s="316"/>
      <c r="P54" s="316"/>
      <c r="Q54" s="316"/>
      <c r="R54" s="316"/>
      <c r="S54" s="316"/>
      <c r="T54" s="317"/>
      <c r="U54" s="317"/>
      <c r="V54" s="318"/>
      <c r="W54" s="319"/>
      <c r="X54" s="320"/>
      <c r="Y54" s="321"/>
      <c r="Z54" s="322"/>
      <c r="AA54" s="323"/>
      <c r="AB54" s="323"/>
      <c r="AC54" s="324"/>
      <c r="AD54" s="324"/>
      <c r="AE54" s="324"/>
      <c r="AF54" s="324"/>
      <c r="AG54" s="325"/>
      <c r="AH54" s="325"/>
      <c r="AI54" s="325"/>
      <c r="AJ54" s="326"/>
      <c r="AK54" s="332"/>
      <c r="AL54" s="328"/>
      <c r="AM54" s="322"/>
      <c r="AN54" s="323"/>
      <c r="AO54" s="323"/>
      <c r="AP54" s="324"/>
      <c r="AQ54" s="324"/>
      <c r="AR54" s="324"/>
      <c r="AS54" s="324"/>
      <c r="AT54" s="325"/>
      <c r="AU54" s="325"/>
      <c r="AV54" s="325"/>
      <c r="AW54" s="326"/>
      <c r="AX54" s="332"/>
      <c r="AY54" s="333"/>
    </row>
    <row r="55" spans="1:51" s="379" customFormat="1" ht="20.25" customHeight="1" thickBot="1" x14ac:dyDescent="0.3">
      <c r="A55" s="365" t="s">
        <v>157</v>
      </c>
      <c r="B55" s="366"/>
      <c r="C55" s="367"/>
      <c r="D55" s="367"/>
      <c r="E55" s="367"/>
      <c r="F55" s="367"/>
      <c r="G55" s="367"/>
      <c r="H55" s="367"/>
      <c r="I55" s="367"/>
      <c r="J55" s="367"/>
      <c r="K55" s="367"/>
      <c r="L55" s="367"/>
      <c r="M55" s="367"/>
      <c r="N55" s="367"/>
      <c r="O55" s="367"/>
      <c r="P55" s="367"/>
      <c r="Q55" s="367"/>
      <c r="R55" s="367"/>
      <c r="S55" s="367"/>
      <c r="T55" s="367"/>
      <c r="U55" s="367"/>
      <c r="V55" s="368"/>
      <c r="W55" s="369">
        <f>W37</f>
        <v>11100000</v>
      </c>
      <c r="X55" s="370"/>
      <c r="Y55" s="371"/>
      <c r="Z55" s="372"/>
      <c r="AA55" s="372"/>
      <c r="AB55" s="372"/>
      <c r="AC55" s="373"/>
      <c r="AD55" s="373"/>
      <c r="AE55" s="373"/>
      <c r="AF55" s="373"/>
      <c r="AG55" s="374"/>
      <c r="AH55" s="374"/>
      <c r="AI55" s="374"/>
      <c r="AJ55" s="375"/>
      <c r="AK55" s="376">
        <f>SUM(AK36:AK54)</f>
        <v>11100000</v>
      </c>
      <c r="AL55" s="377"/>
      <c r="AM55" s="372"/>
      <c r="AN55" s="372"/>
      <c r="AO55" s="372"/>
      <c r="AP55" s="373"/>
      <c r="AQ55" s="373"/>
      <c r="AR55" s="373"/>
      <c r="AS55" s="373"/>
      <c r="AT55" s="374"/>
      <c r="AU55" s="374"/>
      <c r="AV55" s="374"/>
      <c r="AW55" s="375"/>
      <c r="AX55" s="376">
        <f>SUM(AX36:AX54)</f>
        <v>0</v>
      </c>
      <c r="AY55" s="378">
        <f>SUM(AY36:AY54)</f>
        <v>11100000</v>
      </c>
    </row>
    <row r="56" spans="1:51" s="268" customFormat="1" ht="15.75" x14ac:dyDescent="0.25">
      <c r="A56" s="219" t="s">
        <v>158</v>
      </c>
      <c r="B56" s="380"/>
      <c r="C56" s="380"/>
      <c r="D56" s="380"/>
      <c r="E56" s="380"/>
      <c r="F56" s="380"/>
      <c r="G56" s="380"/>
      <c r="H56" s="380"/>
      <c r="I56" s="380"/>
      <c r="J56" s="380"/>
      <c r="K56" s="381"/>
      <c r="L56" s="382"/>
      <c r="M56" s="380"/>
      <c r="N56" s="380"/>
      <c r="O56" s="380"/>
      <c r="P56" s="380"/>
      <c r="Q56" s="380"/>
      <c r="R56" s="380"/>
      <c r="S56" s="380"/>
      <c r="T56" s="383"/>
      <c r="U56" s="384"/>
      <c r="V56" s="384"/>
      <c r="W56" s="384"/>
      <c r="X56" s="385"/>
      <c r="Y56" s="386"/>
      <c r="Z56" s="387"/>
      <c r="AA56" s="387"/>
      <c r="AB56" s="387"/>
      <c r="AC56" s="387"/>
      <c r="AD56" s="387"/>
      <c r="AE56" s="387"/>
      <c r="AF56" s="387"/>
      <c r="AG56" s="387"/>
      <c r="AH56" s="387"/>
      <c r="AI56" s="387"/>
      <c r="AJ56" s="387"/>
    </row>
    <row r="57" spans="1:51" s="268" customFormat="1" ht="15.75" x14ac:dyDescent="0.25">
      <c r="A57" s="219" t="s">
        <v>159</v>
      </c>
      <c r="B57" s="220"/>
      <c r="C57" s="380"/>
      <c r="D57" s="660" t="s">
        <v>160</v>
      </c>
      <c r="E57" s="660"/>
      <c r="F57" s="660"/>
      <c r="G57" s="660"/>
      <c r="H57" s="660"/>
      <c r="I57" s="388"/>
      <c r="J57" s="388"/>
      <c r="K57" s="389"/>
      <c r="L57" s="390"/>
      <c r="M57" s="391"/>
      <c r="N57" s="391"/>
      <c r="O57" s="391"/>
      <c r="P57" s="391"/>
      <c r="Q57" s="391"/>
      <c r="R57" s="391"/>
      <c r="S57" s="391"/>
      <c r="T57" s="380"/>
      <c r="U57" s="388"/>
      <c r="V57" s="392" t="s">
        <v>841</v>
      </c>
      <c r="W57" s="393"/>
      <c r="X57" s="394"/>
      <c r="Y57" s="387"/>
      <c r="Z57" s="387"/>
      <c r="AA57" s="387" t="s">
        <v>161</v>
      </c>
      <c r="AB57" s="387"/>
      <c r="AC57" s="387"/>
      <c r="AD57" s="387"/>
      <c r="AE57" s="387"/>
      <c r="AF57" s="387"/>
      <c r="AG57" s="387"/>
      <c r="AH57" s="387"/>
      <c r="AI57" s="387"/>
      <c r="AJ57" s="387"/>
    </row>
    <row r="58" spans="1:51" s="268" customFormat="1" ht="12" customHeight="1" x14ac:dyDescent="0.25">
      <c r="A58" s="219" t="s">
        <v>162</v>
      </c>
      <c r="B58" s="220"/>
      <c r="C58" s="380"/>
      <c r="D58" s="660" t="s">
        <v>160</v>
      </c>
      <c r="E58" s="660"/>
      <c r="F58" s="660"/>
      <c r="G58" s="660"/>
      <c r="H58" s="660"/>
      <c r="I58" s="388"/>
      <c r="J58" s="388"/>
      <c r="K58" s="389"/>
      <c r="L58" s="390"/>
      <c r="M58" s="391"/>
      <c r="N58" s="391"/>
      <c r="O58" s="391"/>
      <c r="P58" s="391"/>
      <c r="Q58" s="391"/>
      <c r="R58" s="391"/>
      <c r="S58" s="391"/>
      <c r="T58" s="380"/>
      <c r="U58" s="384"/>
      <c r="V58" s="395" t="s">
        <v>26</v>
      </c>
      <c r="W58" s="393"/>
      <c r="X58" s="394"/>
      <c r="Y58" s="387"/>
      <c r="Z58" s="387"/>
      <c r="AA58" s="387"/>
      <c r="AB58" s="387"/>
      <c r="AC58" s="387"/>
      <c r="AD58" s="387"/>
      <c r="AE58" s="387"/>
      <c r="AF58" s="387"/>
      <c r="AG58" s="387"/>
      <c r="AH58" s="387"/>
      <c r="AI58" s="387"/>
      <c r="AJ58" s="387"/>
    </row>
    <row r="59" spans="1:51" s="268" customFormat="1" ht="15.75" x14ac:dyDescent="0.25">
      <c r="A59" s="219" t="s">
        <v>163</v>
      </c>
      <c r="B59" s="220"/>
      <c r="C59" s="380"/>
      <c r="D59" s="660" t="s">
        <v>160</v>
      </c>
      <c r="E59" s="660"/>
      <c r="F59" s="660"/>
      <c r="G59" s="660"/>
      <c r="H59" s="660"/>
      <c r="I59" s="388"/>
      <c r="J59" s="388"/>
      <c r="K59" s="389"/>
      <c r="L59" s="390"/>
      <c r="M59" s="391"/>
      <c r="N59" s="391"/>
      <c r="O59" s="391"/>
      <c r="P59" s="391"/>
      <c r="Q59" s="391"/>
      <c r="R59" s="391"/>
      <c r="S59" s="391"/>
      <c r="T59" s="380"/>
      <c r="U59" s="384"/>
      <c r="V59" s="395"/>
      <c r="W59" s="393"/>
      <c r="X59" s="394"/>
      <c r="Y59" s="387"/>
      <c r="Z59" s="387"/>
      <c r="AA59" s="387"/>
      <c r="AB59" s="387"/>
      <c r="AC59" s="387"/>
      <c r="AD59" s="387"/>
      <c r="AE59" s="387"/>
      <c r="AF59" s="387"/>
      <c r="AG59" s="387"/>
      <c r="AH59" s="387"/>
      <c r="AI59" s="387"/>
      <c r="AJ59" s="387"/>
    </row>
    <row r="60" spans="1:51" s="268" customFormat="1" ht="15.75" x14ac:dyDescent="0.25">
      <c r="A60" s="219"/>
      <c r="B60" s="220"/>
      <c r="C60" s="380"/>
      <c r="D60" s="659"/>
      <c r="E60" s="659"/>
      <c r="F60" s="659"/>
      <c r="G60" s="659"/>
      <c r="H60" s="659"/>
      <c r="I60" s="388"/>
      <c r="J60" s="388"/>
      <c r="K60" s="396"/>
      <c r="L60" s="390"/>
      <c r="M60" s="391"/>
      <c r="N60" s="391"/>
      <c r="O60" s="391"/>
      <c r="P60" s="391"/>
      <c r="Q60" s="391"/>
      <c r="R60" s="391"/>
      <c r="S60" s="391"/>
      <c r="T60" s="380"/>
      <c r="U60" s="393"/>
      <c r="V60" s="395"/>
      <c r="W60" s="393"/>
      <c r="X60" s="394"/>
      <c r="Y60" s="387"/>
      <c r="Z60" s="387"/>
      <c r="AA60" s="387"/>
      <c r="AB60" s="387"/>
      <c r="AC60" s="387"/>
      <c r="AD60" s="387"/>
      <c r="AE60" s="387"/>
      <c r="AF60" s="387"/>
      <c r="AG60" s="387"/>
      <c r="AH60" s="387"/>
      <c r="AI60" s="387"/>
      <c r="AJ60" s="387"/>
    </row>
    <row r="61" spans="1:51" s="268" customFormat="1" ht="15.75" x14ac:dyDescent="0.25">
      <c r="A61" s="219" t="s">
        <v>87</v>
      </c>
      <c r="B61" s="220"/>
      <c r="C61" s="380"/>
      <c r="D61" s="660" t="s">
        <v>160</v>
      </c>
      <c r="E61" s="660"/>
      <c r="F61" s="660"/>
      <c r="G61" s="660"/>
      <c r="H61" s="660"/>
      <c r="I61" s="388"/>
      <c r="J61" s="388"/>
      <c r="K61" s="396"/>
      <c r="L61" s="390"/>
      <c r="M61" s="391"/>
      <c r="N61" s="391"/>
      <c r="O61" s="391"/>
      <c r="P61" s="391"/>
      <c r="Q61" s="391"/>
      <c r="R61" s="391"/>
      <c r="S61" s="391"/>
      <c r="T61" s="380"/>
      <c r="U61" s="393"/>
      <c r="V61" s="397"/>
      <c r="W61" s="398"/>
      <c r="X61" s="394"/>
      <c r="Y61" s="387"/>
      <c r="Z61" s="387"/>
      <c r="AA61" s="387"/>
      <c r="AB61" s="387"/>
      <c r="AC61" s="387"/>
      <c r="AD61" s="387"/>
      <c r="AE61" s="387"/>
      <c r="AF61" s="387"/>
      <c r="AG61" s="387"/>
      <c r="AH61" s="387"/>
      <c r="AI61" s="387"/>
      <c r="AJ61" s="387"/>
    </row>
    <row r="62" spans="1:51" s="268" customFormat="1" ht="15.75" x14ac:dyDescent="0.25">
      <c r="A62" s="399"/>
      <c r="B62" s="380"/>
      <c r="C62" s="380"/>
      <c r="D62" s="380"/>
      <c r="E62" s="380"/>
      <c r="F62" s="380"/>
      <c r="G62" s="380"/>
      <c r="H62" s="380"/>
      <c r="I62" s="388"/>
      <c r="J62" s="388"/>
      <c r="K62" s="396"/>
      <c r="L62" s="390"/>
      <c r="M62" s="391"/>
      <c r="N62" s="391"/>
      <c r="O62" s="391"/>
      <c r="P62" s="391"/>
      <c r="Q62" s="391"/>
      <c r="R62" s="391"/>
      <c r="S62" s="391"/>
      <c r="T62" s="380"/>
      <c r="U62" s="223"/>
      <c r="V62" s="400" t="s">
        <v>28</v>
      </c>
      <c r="W62" s="401"/>
      <c r="X62" s="394"/>
      <c r="Y62" s="387"/>
      <c r="Z62" s="387"/>
      <c r="AA62" s="387"/>
      <c r="AB62" s="387"/>
      <c r="AC62" s="387"/>
      <c r="AD62" s="387"/>
      <c r="AE62" s="387"/>
      <c r="AF62" s="387"/>
      <c r="AG62" s="387"/>
      <c r="AH62" s="387"/>
      <c r="AI62" s="387"/>
      <c r="AJ62" s="387"/>
    </row>
    <row r="63" spans="1:51" s="268" customFormat="1" ht="15.75" x14ac:dyDescent="0.25">
      <c r="A63" s="399"/>
      <c r="B63" s="380"/>
      <c r="C63" s="380"/>
      <c r="D63" s="380"/>
      <c r="E63" s="380"/>
      <c r="F63" s="380"/>
      <c r="G63" s="380"/>
      <c r="H63" s="380"/>
      <c r="I63" s="393"/>
      <c r="J63" s="388"/>
      <c r="K63" s="389"/>
      <c r="L63" s="390"/>
      <c r="M63" s="391"/>
      <c r="N63" s="391"/>
      <c r="O63" s="391"/>
      <c r="P63" s="391"/>
      <c r="Q63" s="391"/>
      <c r="R63" s="391"/>
      <c r="S63" s="391"/>
      <c r="T63" s="380"/>
      <c r="U63" s="223"/>
      <c r="V63" s="402" t="s">
        <v>76</v>
      </c>
      <c r="W63" s="393"/>
      <c r="X63" s="394"/>
      <c r="Y63" s="387"/>
      <c r="Z63" s="387"/>
      <c r="AA63" s="387"/>
      <c r="AB63" s="387"/>
      <c r="AC63" s="387"/>
      <c r="AD63" s="387"/>
      <c r="AE63" s="387"/>
      <c r="AF63" s="387"/>
      <c r="AG63" s="387"/>
      <c r="AH63" s="387"/>
      <c r="AI63" s="387"/>
      <c r="AJ63" s="387"/>
    </row>
    <row r="64" spans="1:51" s="268" customFormat="1" ht="11.25" customHeight="1" thickBot="1" x14ac:dyDescent="0.3">
      <c r="A64" s="403"/>
      <c r="B64" s="404"/>
      <c r="C64" s="404"/>
      <c r="D64" s="404"/>
      <c r="E64" s="404"/>
      <c r="F64" s="404"/>
      <c r="G64" s="404"/>
      <c r="H64" s="404"/>
      <c r="I64" s="405"/>
      <c r="J64" s="405"/>
      <c r="K64" s="406"/>
      <c r="L64" s="407"/>
      <c r="M64" s="405"/>
      <c r="N64" s="405"/>
      <c r="O64" s="405"/>
      <c r="P64" s="405"/>
      <c r="Q64" s="405"/>
      <c r="R64" s="405"/>
      <c r="S64" s="405"/>
      <c r="T64" s="408"/>
      <c r="U64" s="409"/>
      <c r="V64" s="410"/>
      <c r="W64" s="410"/>
      <c r="X64" s="411"/>
      <c r="Y64" s="387"/>
      <c r="Z64" s="387"/>
      <c r="AA64" s="387"/>
      <c r="AB64" s="387"/>
      <c r="AC64" s="387"/>
      <c r="AD64" s="387"/>
      <c r="AE64" s="387"/>
      <c r="AF64" s="387"/>
      <c r="AG64" s="387"/>
      <c r="AH64" s="387"/>
      <c r="AI64" s="387"/>
      <c r="AJ64" s="387"/>
    </row>
    <row r="65" spans="1:36" s="199" customFormat="1" ht="15.75" x14ac:dyDescent="0.25">
      <c r="A65" s="412"/>
      <c r="B65" s="412"/>
      <c r="C65" s="412"/>
      <c r="D65" s="412"/>
      <c r="E65" s="412"/>
      <c r="F65" s="412"/>
      <c r="G65" s="412"/>
      <c r="H65" s="412"/>
      <c r="I65" s="413"/>
      <c r="J65" s="413"/>
      <c r="K65" s="413"/>
      <c r="L65" s="414"/>
      <c r="M65" s="412"/>
      <c r="N65" s="412"/>
      <c r="O65" s="412"/>
      <c r="P65" s="412"/>
      <c r="Q65" s="412"/>
      <c r="R65" s="412"/>
      <c r="S65" s="412"/>
      <c r="T65" s="412"/>
      <c r="U65" s="413"/>
      <c r="V65" s="413"/>
      <c r="W65" s="413"/>
      <c r="X65" s="413"/>
      <c r="Y65" s="198"/>
      <c r="Z65" s="198"/>
      <c r="AA65" s="198"/>
      <c r="AB65" s="198"/>
      <c r="AC65" s="198"/>
      <c r="AD65" s="198"/>
      <c r="AE65" s="198"/>
      <c r="AF65" s="198"/>
      <c r="AG65" s="198"/>
      <c r="AH65" s="198"/>
      <c r="AI65" s="198"/>
      <c r="AJ65" s="198"/>
    </row>
    <row r="66" spans="1:36" s="199" customFormat="1" ht="15.75" x14ac:dyDescent="0.25">
      <c r="A66" s="412"/>
      <c r="B66" s="412"/>
      <c r="C66" s="412"/>
      <c r="D66" s="412"/>
      <c r="E66" s="412"/>
      <c r="F66" s="412"/>
      <c r="G66" s="412"/>
      <c r="H66" s="412"/>
      <c r="I66" s="413"/>
      <c r="J66" s="413"/>
      <c r="K66" s="413"/>
      <c r="L66" s="414"/>
      <c r="M66" s="412"/>
      <c r="N66" s="412"/>
      <c r="O66" s="412"/>
      <c r="P66" s="412"/>
      <c r="Q66" s="412"/>
      <c r="R66" s="412"/>
      <c r="S66" s="412"/>
      <c r="T66" s="412"/>
      <c r="U66" s="413"/>
      <c r="V66" s="413"/>
      <c r="W66" s="413"/>
      <c r="X66" s="413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198"/>
      <c r="AJ66" s="198"/>
    </row>
    <row r="67" spans="1:36" s="199" customFormat="1" ht="15.75" x14ac:dyDescent="0.25">
      <c r="A67" s="412"/>
      <c r="B67" s="412"/>
      <c r="C67" s="412"/>
      <c r="D67" s="412"/>
      <c r="E67" s="412"/>
      <c r="F67" s="412"/>
      <c r="G67" s="412"/>
      <c r="H67" s="412"/>
      <c r="I67" s="413"/>
      <c r="J67" s="413"/>
      <c r="K67" s="413"/>
      <c r="L67" s="414"/>
      <c r="M67" s="412"/>
      <c r="N67" s="412"/>
      <c r="O67" s="412"/>
      <c r="P67" s="412"/>
      <c r="Q67" s="412"/>
      <c r="R67" s="412"/>
      <c r="S67" s="412"/>
      <c r="T67" s="412"/>
      <c r="U67" s="413"/>
      <c r="V67" s="413"/>
      <c r="W67" s="413"/>
      <c r="X67" s="413"/>
      <c r="Y67" s="198"/>
      <c r="Z67" s="198"/>
      <c r="AA67" s="198"/>
      <c r="AB67" s="198"/>
      <c r="AC67" s="198"/>
      <c r="AD67" s="198"/>
      <c r="AE67" s="198"/>
      <c r="AF67" s="198"/>
      <c r="AG67" s="198"/>
      <c r="AH67" s="198"/>
      <c r="AI67" s="198"/>
      <c r="AJ67" s="198"/>
    </row>
    <row r="68" spans="1:36" ht="15.75" x14ac:dyDescent="0.25">
      <c r="A68" s="412"/>
      <c r="B68" s="412"/>
      <c r="C68" s="412"/>
      <c r="D68" s="412"/>
      <c r="E68" s="412"/>
      <c r="F68" s="412"/>
      <c r="G68" s="412"/>
      <c r="H68" s="412"/>
      <c r="I68" s="413"/>
      <c r="J68" s="413"/>
      <c r="K68" s="413"/>
      <c r="L68" s="414"/>
      <c r="M68" s="412"/>
      <c r="N68" s="412"/>
      <c r="O68" s="412"/>
      <c r="P68" s="412"/>
      <c r="Q68" s="412"/>
      <c r="R68" s="412"/>
      <c r="S68" s="412"/>
      <c r="T68" s="412"/>
      <c r="U68" s="413"/>
      <c r="V68" s="413"/>
      <c r="W68" s="413"/>
      <c r="X68" s="413"/>
    </row>
  </sheetData>
  <mergeCells count="72">
    <mergeCell ref="D60:H60"/>
    <mergeCell ref="D61:H61"/>
    <mergeCell ref="A36:H36"/>
    <mergeCell ref="I36:K36"/>
    <mergeCell ref="L36:S36"/>
    <mergeCell ref="D57:H57"/>
    <mergeCell ref="D58:H58"/>
    <mergeCell ref="D59:H59"/>
    <mergeCell ref="AI34:AI35"/>
    <mergeCell ref="AW34:AW35"/>
    <mergeCell ref="AL34:AL35"/>
    <mergeCell ref="AM34:AM35"/>
    <mergeCell ref="AN34:AN35"/>
    <mergeCell ref="AO34:AO35"/>
    <mergeCell ref="AP34:AP35"/>
    <mergeCell ref="AQ34:AQ35"/>
    <mergeCell ref="AR34:AR35"/>
    <mergeCell ref="AS34:AS35"/>
    <mergeCell ref="AT34:AT35"/>
    <mergeCell ref="AU34:AU35"/>
    <mergeCell ref="AV34:AV35"/>
    <mergeCell ref="Y31:AJ33"/>
    <mergeCell ref="AK31:AK35"/>
    <mergeCell ref="AL31:AW33"/>
    <mergeCell ref="AX31:AX35"/>
    <mergeCell ref="AY31:AY35"/>
    <mergeCell ref="AJ34:AJ35"/>
    <mergeCell ref="Y34:Y35"/>
    <mergeCell ref="Z34:Z35"/>
    <mergeCell ref="AA34:AA35"/>
    <mergeCell ref="AB34:AB35"/>
    <mergeCell ref="AC34:AC35"/>
    <mergeCell ref="AD34:AD35"/>
    <mergeCell ref="AE34:AE35"/>
    <mergeCell ref="AF34:AF35"/>
    <mergeCell ref="AG34:AG35"/>
    <mergeCell ref="AH34:AH35"/>
    <mergeCell ref="A24:I24"/>
    <mergeCell ref="A28:I28"/>
    <mergeCell ref="A29:X29"/>
    <mergeCell ref="A30:X30"/>
    <mergeCell ref="A31:H35"/>
    <mergeCell ref="I31:K35"/>
    <mergeCell ref="L31:V32"/>
    <mergeCell ref="W31:W33"/>
    <mergeCell ref="X31:X35"/>
    <mergeCell ref="L33:S35"/>
    <mergeCell ref="T33:T35"/>
    <mergeCell ref="U33:U35"/>
    <mergeCell ref="V33:V35"/>
    <mergeCell ref="W34:W35"/>
    <mergeCell ref="V23:X23"/>
    <mergeCell ref="A14:I14"/>
    <mergeCell ref="J14:U14"/>
    <mergeCell ref="V14:X14"/>
    <mergeCell ref="A15:I15"/>
    <mergeCell ref="A16:I19"/>
    <mergeCell ref="V16:X16"/>
    <mergeCell ref="V17:X17"/>
    <mergeCell ref="V18:X18"/>
    <mergeCell ref="V19:X19"/>
    <mergeCell ref="A20:I20"/>
    <mergeCell ref="V20:X20"/>
    <mergeCell ref="V21:X21"/>
    <mergeCell ref="K22:U22"/>
    <mergeCell ref="V22:X22"/>
    <mergeCell ref="A13:X13"/>
    <mergeCell ref="V3:X3"/>
    <mergeCell ref="A5:X5"/>
    <mergeCell ref="A6:X6"/>
    <mergeCell ref="A7:I7"/>
    <mergeCell ref="A9:I9"/>
  </mergeCells>
  <pageMargins left="0.85" right="0" top="1" bottom="1.5" header="0.42" footer="0.31"/>
  <pageSetup paperSize="124" scale="57" orientation="portrait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A0534-6005-415D-A8B4-387F4FEF539A}">
  <sheetPr>
    <pageSetUpPr fitToPage="1"/>
  </sheetPr>
  <dimension ref="A1:AY64"/>
  <sheetViews>
    <sheetView showGridLines="0" topLeftCell="E34" zoomScale="90" zoomScaleNormal="90" zoomScaleSheetLayoutView="70" zoomScalePageLayoutView="40" workbookViewId="0">
      <selection activeCell="Z56" sqref="Z56"/>
    </sheetView>
  </sheetViews>
  <sheetFormatPr defaultColWidth="9.140625" defaultRowHeight="12.75" x14ac:dyDescent="0.2"/>
  <cols>
    <col min="1" max="6" width="3.7109375" style="415" customWidth="1"/>
    <col min="7" max="7" width="5.85546875" style="415" bestFit="1" customWidth="1"/>
    <col min="8" max="8" width="3.7109375" style="415" customWidth="1"/>
    <col min="9" max="9" width="2" style="176" customWidth="1"/>
    <col min="10" max="10" width="3.140625" style="176" customWidth="1"/>
    <col min="11" max="11" width="37.140625" style="176" customWidth="1"/>
    <col min="12" max="12" width="4.140625" style="416" customWidth="1"/>
    <col min="13" max="15" width="4" style="415" customWidth="1"/>
    <col min="16" max="16" width="6.5703125" style="415" bestFit="1" customWidth="1"/>
    <col min="17" max="18" width="4" style="415" customWidth="1"/>
    <col min="19" max="19" width="6.7109375" style="415" bestFit="1" customWidth="1"/>
    <col min="20" max="20" width="8.5703125" style="415" customWidth="1"/>
    <col min="21" max="21" width="11.28515625" style="176" customWidth="1"/>
    <col min="22" max="22" width="12.140625" style="176" customWidth="1"/>
    <col min="23" max="23" width="13.7109375" style="176" customWidth="1"/>
    <col min="24" max="24" width="9.5703125" style="176" customWidth="1"/>
    <col min="25" max="25" width="11.7109375" style="175" customWidth="1"/>
    <col min="26" max="26" width="11.85546875" style="175" customWidth="1"/>
    <col min="27" max="27" width="11.42578125" style="175" customWidth="1"/>
    <col min="28" max="28" width="11.5703125" style="175" customWidth="1"/>
    <col min="29" max="29" width="12" style="175" customWidth="1"/>
    <col min="30" max="30" width="11.42578125" style="175" customWidth="1"/>
    <col min="31" max="31" width="11.85546875" style="175" customWidth="1"/>
    <col min="32" max="32" width="11.5703125" style="175" customWidth="1"/>
    <col min="33" max="33" width="11.85546875" style="175" customWidth="1"/>
    <col min="34" max="34" width="11.42578125" style="175" customWidth="1"/>
    <col min="35" max="35" width="10.7109375" style="175" customWidth="1"/>
    <col min="36" max="36" width="11.5703125" style="175" customWidth="1"/>
    <col min="37" max="37" width="11.5703125" style="176" customWidth="1"/>
    <col min="38" max="50" width="9.140625" style="176"/>
    <col min="51" max="51" width="10.28515625" style="176" bestFit="1" customWidth="1"/>
    <col min="52" max="16384" width="9.140625" style="176"/>
  </cols>
  <sheetData>
    <row r="1" spans="1:36" ht="14.25" customHeight="1" x14ac:dyDescent="0.2">
      <c r="A1" s="169"/>
      <c r="B1" s="170"/>
      <c r="C1" s="170"/>
      <c r="D1" s="170"/>
      <c r="E1" s="170"/>
      <c r="F1" s="170"/>
      <c r="G1" s="170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2"/>
      <c r="U1" s="171"/>
      <c r="V1" s="173"/>
      <c r="W1" s="171"/>
      <c r="X1" s="174"/>
    </row>
    <row r="2" spans="1:36" ht="18.75" customHeight="1" x14ac:dyDescent="0.4">
      <c r="A2" s="177"/>
      <c r="B2" s="178"/>
      <c r="C2" s="178"/>
      <c r="D2" s="178"/>
      <c r="E2" s="178"/>
      <c r="F2" s="178"/>
      <c r="G2" s="178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80"/>
      <c r="U2" s="179"/>
      <c r="V2" s="181"/>
      <c r="W2" s="179"/>
      <c r="X2" s="182"/>
    </row>
    <row r="3" spans="1:36" ht="24.75" customHeight="1" x14ac:dyDescent="0.2">
      <c r="A3" s="183"/>
      <c r="B3" s="184"/>
      <c r="C3" s="184"/>
      <c r="D3" s="184"/>
      <c r="E3" s="184"/>
      <c r="F3" s="184"/>
      <c r="G3" s="184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6"/>
      <c r="U3" s="185"/>
      <c r="V3" s="562" t="s">
        <v>21</v>
      </c>
      <c r="W3" s="563"/>
      <c r="X3" s="564"/>
    </row>
    <row r="4" spans="1:36" ht="32.25" customHeight="1" thickBot="1" x14ac:dyDescent="0.25">
      <c r="A4" s="187"/>
      <c r="B4" s="188"/>
      <c r="C4" s="188"/>
      <c r="D4" s="188"/>
      <c r="E4" s="188"/>
      <c r="F4" s="188"/>
      <c r="G4" s="188"/>
      <c r="H4" s="189"/>
      <c r="I4" s="189"/>
      <c r="J4" s="189"/>
      <c r="K4" s="190"/>
      <c r="L4" s="189"/>
      <c r="M4" s="189"/>
      <c r="N4" s="189"/>
      <c r="O4" s="189"/>
      <c r="P4" s="189"/>
      <c r="Q4" s="189"/>
      <c r="R4" s="189"/>
      <c r="S4" s="189"/>
      <c r="T4" s="190"/>
      <c r="U4" s="189"/>
      <c r="V4" s="191"/>
      <c r="W4" s="192">
        <v>1</v>
      </c>
      <c r="X4" s="193"/>
    </row>
    <row r="5" spans="1:36" ht="21" customHeight="1" x14ac:dyDescent="0.2">
      <c r="A5" s="565" t="s">
        <v>1</v>
      </c>
      <c r="B5" s="566"/>
      <c r="C5" s="566"/>
      <c r="D5" s="566"/>
      <c r="E5" s="566"/>
      <c r="F5" s="566"/>
      <c r="G5" s="566"/>
      <c r="H5" s="566"/>
      <c r="I5" s="566"/>
      <c r="J5" s="566"/>
      <c r="K5" s="566"/>
      <c r="L5" s="566"/>
      <c r="M5" s="566"/>
      <c r="N5" s="566"/>
      <c r="O5" s="566"/>
      <c r="P5" s="566"/>
      <c r="Q5" s="566"/>
      <c r="R5" s="566"/>
      <c r="S5" s="566"/>
      <c r="T5" s="566"/>
      <c r="U5" s="566"/>
      <c r="V5" s="566"/>
      <c r="W5" s="566"/>
      <c r="X5" s="567"/>
    </row>
    <row r="6" spans="1:36" ht="21" customHeight="1" x14ac:dyDescent="0.2">
      <c r="A6" s="568" t="s">
        <v>836</v>
      </c>
      <c r="B6" s="569"/>
      <c r="C6" s="569"/>
      <c r="D6" s="569"/>
      <c r="E6" s="569"/>
      <c r="F6" s="569"/>
      <c r="G6" s="569"/>
      <c r="H6" s="569"/>
      <c r="I6" s="569"/>
      <c r="J6" s="569"/>
      <c r="K6" s="569"/>
      <c r="L6" s="569"/>
      <c r="M6" s="569"/>
      <c r="N6" s="569"/>
      <c r="O6" s="569"/>
      <c r="P6" s="569"/>
      <c r="Q6" s="569"/>
      <c r="R6" s="569"/>
      <c r="S6" s="569"/>
      <c r="T6" s="569"/>
      <c r="U6" s="569"/>
      <c r="V6" s="569"/>
      <c r="W6" s="569"/>
      <c r="X6" s="570"/>
    </row>
    <row r="7" spans="1:36" s="199" customFormat="1" ht="15" customHeight="1" x14ac:dyDescent="0.25">
      <c r="A7" s="571" t="s">
        <v>45</v>
      </c>
      <c r="B7" s="572"/>
      <c r="C7" s="572"/>
      <c r="D7" s="572"/>
      <c r="E7" s="572"/>
      <c r="F7" s="572"/>
      <c r="G7" s="572"/>
      <c r="H7" s="572"/>
      <c r="I7" s="572"/>
      <c r="J7" s="195" t="s">
        <v>113</v>
      </c>
      <c r="K7" s="196" t="s">
        <v>114</v>
      </c>
      <c r="L7" s="196"/>
      <c r="M7" s="196"/>
      <c r="N7" s="196"/>
      <c r="O7" s="196"/>
      <c r="P7" s="196"/>
      <c r="Q7" s="196"/>
      <c r="R7" s="196"/>
      <c r="S7" s="196"/>
      <c r="T7" s="196"/>
      <c r="U7" s="196"/>
      <c r="V7" s="196"/>
      <c r="W7" s="196"/>
      <c r="X7" s="197"/>
      <c r="Y7" s="198"/>
      <c r="Z7" s="198"/>
      <c r="AA7" s="198"/>
      <c r="AB7" s="198"/>
      <c r="AC7" s="198"/>
      <c r="AD7" s="198"/>
      <c r="AE7" s="198"/>
      <c r="AF7" s="198"/>
      <c r="AG7" s="198"/>
      <c r="AH7" s="198"/>
      <c r="AI7" s="198"/>
      <c r="AJ7" s="198"/>
    </row>
    <row r="8" spans="1:36" s="199" customFormat="1" ht="15" customHeight="1" x14ac:dyDescent="0.25">
      <c r="A8" s="194" t="s">
        <v>115</v>
      </c>
      <c r="B8" s="195"/>
      <c r="C8" s="195"/>
      <c r="D8" s="195"/>
      <c r="E8" s="195"/>
      <c r="F8" s="195"/>
      <c r="G8" s="195"/>
      <c r="H8" s="195"/>
      <c r="I8" s="195"/>
      <c r="J8" s="195" t="s">
        <v>113</v>
      </c>
      <c r="K8" s="200" t="s">
        <v>739</v>
      </c>
      <c r="L8" s="200"/>
      <c r="T8" s="200"/>
      <c r="U8" s="200"/>
      <c r="V8" s="200"/>
      <c r="W8" s="200"/>
      <c r="X8" s="201"/>
      <c r="Y8" s="198"/>
      <c r="Z8" s="198"/>
      <c r="AA8" s="198"/>
      <c r="AB8" s="198"/>
      <c r="AC8" s="198"/>
      <c r="AD8" s="198"/>
      <c r="AE8" s="198"/>
      <c r="AF8" s="198"/>
      <c r="AG8" s="198"/>
      <c r="AH8" s="198"/>
      <c r="AI8" s="198"/>
      <c r="AJ8" s="198"/>
    </row>
    <row r="9" spans="1:36" s="199" customFormat="1" ht="15" customHeight="1" x14ac:dyDescent="0.25">
      <c r="A9" s="573" t="s">
        <v>116</v>
      </c>
      <c r="B9" s="574"/>
      <c r="C9" s="574"/>
      <c r="D9" s="574"/>
      <c r="E9" s="574"/>
      <c r="F9" s="574"/>
      <c r="G9" s="574"/>
      <c r="H9" s="574"/>
      <c r="I9" s="574"/>
      <c r="J9" s="203" t="s">
        <v>113</v>
      </c>
      <c r="K9" s="204" t="s">
        <v>740</v>
      </c>
      <c r="L9" s="196"/>
      <c r="M9" s="204"/>
      <c r="N9" s="204"/>
      <c r="O9" s="204"/>
      <c r="P9" s="204"/>
      <c r="Q9" s="204"/>
      <c r="R9" s="204"/>
      <c r="S9" s="204"/>
      <c r="T9" s="196"/>
      <c r="U9" s="196"/>
      <c r="V9" s="196"/>
      <c r="W9" s="196"/>
      <c r="X9" s="197"/>
      <c r="Y9" s="198"/>
      <c r="Z9" s="198"/>
      <c r="AA9" s="198"/>
      <c r="AB9" s="198"/>
      <c r="AC9" s="198"/>
      <c r="AD9" s="198"/>
      <c r="AE9" s="198"/>
      <c r="AF9" s="198"/>
      <c r="AG9" s="198"/>
      <c r="AH9" s="198"/>
      <c r="AI9" s="198"/>
      <c r="AJ9" s="198"/>
    </row>
    <row r="10" spans="1:36" s="199" customFormat="1" ht="14.25" customHeight="1" x14ac:dyDescent="0.25">
      <c r="A10" s="202" t="s">
        <v>117</v>
      </c>
      <c r="B10" s="203"/>
      <c r="C10" s="205"/>
      <c r="D10" s="205"/>
      <c r="E10" s="205"/>
      <c r="F10" s="205"/>
      <c r="G10" s="205"/>
      <c r="H10" s="205"/>
      <c r="I10" s="203"/>
      <c r="J10" s="195" t="s">
        <v>113</v>
      </c>
      <c r="K10" s="206" t="s">
        <v>616</v>
      </c>
      <c r="L10" s="196"/>
      <c r="M10" s="196"/>
      <c r="N10" s="196"/>
      <c r="O10" s="196"/>
      <c r="P10" s="196"/>
      <c r="Q10" s="196"/>
      <c r="R10" s="196"/>
      <c r="S10" s="196"/>
      <c r="T10" s="207"/>
      <c r="U10" s="196"/>
      <c r="V10" s="196"/>
      <c r="W10" s="196"/>
      <c r="X10" s="197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</row>
    <row r="11" spans="1:36" s="199" customFormat="1" ht="14.25" customHeight="1" x14ac:dyDescent="0.25">
      <c r="A11" s="208" t="s">
        <v>118</v>
      </c>
      <c r="B11" s="209"/>
      <c r="C11" s="210"/>
      <c r="D11" s="210"/>
      <c r="E11" s="210"/>
      <c r="F11" s="210"/>
      <c r="G11" s="210"/>
      <c r="H11" s="210"/>
      <c r="I11" s="209"/>
      <c r="J11" s="195" t="s">
        <v>119</v>
      </c>
      <c r="K11" s="206" t="s">
        <v>114</v>
      </c>
      <c r="L11" s="211"/>
      <c r="M11" s="211"/>
      <c r="N11" s="211"/>
      <c r="O11" s="211"/>
      <c r="P11" s="211"/>
      <c r="Q11" s="211"/>
      <c r="R11" s="211"/>
      <c r="S11" s="211"/>
      <c r="T11" s="212"/>
      <c r="U11" s="211"/>
      <c r="V11" s="211"/>
      <c r="W11" s="211"/>
      <c r="X11" s="213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</row>
    <row r="12" spans="1:36" s="199" customFormat="1" ht="15.75" x14ac:dyDescent="0.25">
      <c r="A12" s="208" t="s">
        <v>120</v>
      </c>
      <c r="B12" s="209"/>
      <c r="C12" s="210"/>
      <c r="D12" s="210"/>
      <c r="E12" s="210"/>
      <c r="F12" s="210"/>
      <c r="G12" s="210"/>
      <c r="H12" s="210"/>
      <c r="I12" s="209"/>
      <c r="J12" s="195" t="s">
        <v>113</v>
      </c>
      <c r="K12" s="214" t="s">
        <v>773</v>
      </c>
      <c r="L12" s="211"/>
      <c r="M12" s="211"/>
      <c r="N12" s="211"/>
      <c r="O12" s="211"/>
      <c r="P12" s="211"/>
      <c r="Q12" s="211"/>
      <c r="R12" s="211"/>
      <c r="S12" s="211"/>
      <c r="T12" s="212"/>
      <c r="U12" s="211"/>
      <c r="V12" s="211"/>
      <c r="W12" s="211"/>
      <c r="X12" s="213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</row>
    <row r="13" spans="1:36" s="199" customFormat="1" ht="18" customHeight="1" x14ac:dyDescent="0.25">
      <c r="A13" s="559" t="s">
        <v>121</v>
      </c>
      <c r="B13" s="560"/>
      <c r="C13" s="560"/>
      <c r="D13" s="560"/>
      <c r="E13" s="560"/>
      <c r="F13" s="560"/>
      <c r="G13" s="560"/>
      <c r="H13" s="560"/>
      <c r="I13" s="560"/>
      <c r="J13" s="560"/>
      <c r="K13" s="560"/>
      <c r="L13" s="560"/>
      <c r="M13" s="560"/>
      <c r="N13" s="560"/>
      <c r="O13" s="560"/>
      <c r="P13" s="560"/>
      <c r="Q13" s="560"/>
      <c r="R13" s="560"/>
      <c r="S13" s="560"/>
      <c r="T13" s="560"/>
      <c r="U13" s="560"/>
      <c r="V13" s="560"/>
      <c r="W13" s="560"/>
      <c r="X13" s="561"/>
    </row>
    <row r="14" spans="1:36" s="199" customFormat="1" ht="15.75" x14ac:dyDescent="0.25">
      <c r="A14" s="578" t="s">
        <v>122</v>
      </c>
      <c r="B14" s="579"/>
      <c r="C14" s="579"/>
      <c r="D14" s="579"/>
      <c r="E14" s="579"/>
      <c r="F14" s="579"/>
      <c r="G14" s="579"/>
      <c r="H14" s="579"/>
      <c r="I14" s="580"/>
      <c r="J14" s="581" t="s">
        <v>123</v>
      </c>
      <c r="K14" s="579"/>
      <c r="L14" s="579"/>
      <c r="M14" s="579"/>
      <c r="N14" s="579"/>
      <c r="O14" s="579"/>
      <c r="P14" s="579"/>
      <c r="Q14" s="579"/>
      <c r="R14" s="579"/>
      <c r="S14" s="579"/>
      <c r="T14" s="579"/>
      <c r="U14" s="579"/>
      <c r="V14" s="581" t="s">
        <v>124</v>
      </c>
      <c r="W14" s="579"/>
      <c r="X14" s="582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</row>
    <row r="15" spans="1:36" s="199" customFormat="1" ht="17.25" customHeight="1" x14ac:dyDescent="0.25">
      <c r="A15" s="573" t="s">
        <v>125</v>
      </c>
      <c r="B15" s="574"/>
      <c r="C15" s="574"/>
      <c r="D15" s="574"/>
      <c r="E15" s="574"/>
      <c r="F15" s="574"/>
      <c r="G15" s="574"/>
      <c r="H15" s="574"/>
      <c r="I15" s="583"/>
      <c r="J15" s="203" t="s">
        <v>119</v>
      </c>
      <c r="K15" s="200"/>
      <c r="L15" s="196"/>
      <c r="M15" s="196"/>
      <c r="N15" s="196"/>
      <c r="O15" s="196"/>
      <c r="P15" s="196"/>
      <c r="Q15" s="196"/>
      <c r="R15" s="196"/>
      <c r="S15" s="196"/>
      <c r="T15" s="207"/>
      <c r="U15" s="196"/>
      <c r="V15" s="215"/>
      <c r="W15" s="196"/>
      <c r="X15" s="197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</row>
    <row r="16" spans="1:36" s="199" customFormat="1" ht="15.75" customHeight="1" x14ac:dyDescent="0.25">
      <c r="A16" s="571" t="s">
        <v>126</v>
      </c>
      <c r="B16" s="572"/>
      <c r="C16" s="572"/>
      <c r="D16" s="572"/>
      <c r="E16" s="572"/>
      <c r="F16" s="572"/>
      <c r="G16" s="572"/>
      <c r="H16" s="572"/>
      <c r="I16" s="584"/>
      <c r="J16" s="216" t="s">
        <v>119</v>
      </c>
      <c r="K16" s="217" t="s">
        <v>127</v>
      </c>
      <c r="L16" s="217"/>
      <c r="M16" s="217"/>
      <c r="N16" s="217"/>
      <c r="O16" s="217"/>
      <c r="P16" s="217"/>
      <c r="Q16" s="217"/>
      <c r="R16" s="217"/>
      <c r="S16" s="217"/>
      <c r="T16" s="218"/>
      <c r="U16" s="217"/>
      <c r="V16" s="591"/>
      <c r="W16" s="592"/>
      <c r="X16" s="593"/>
      <c r="Y16" s="198"/>
      <c r="Z16" s="198"/>
      <c r="AA16" s="198"/>
      <c r="AB16" s="198"/>
      <c r="AC16" s="198"/>
      <c r="AD16" s="198"/>
      <c r="AE16" s="198"/>
      <c r="AF16" s="198"/>
      <c r="AG16" s="198"/>
      <c r="AH16" s="198"/>
      <c r="AI16" s="198"/>
      <c r="AJ16" s="198"/>
    </row>
    <row r="17" spans="1:51" s="199" customFormat="1" ht="15.75" customHeight="1" x14ac:dyDescent="0.25">
      <c r="A17" s="585"/>
      <c r="B17" s="586"/>
      <c r="C17" s="586"/>
      <c r="D17" s="586"/>
      <c r="E17" s="586"/>
      <c r="F17" s="586"/>
      <c r="G17" s="586"/>
      <c r="H17" s="586"/>
      <c r="I17" s="587"/>
      <c r="J17" s="222" t="s">
        <v>119</v>
      </c>
      <c r="K17" s="223" t="s">
        <v>128</v>
      </c>
      <c r="L17" s="223"/>
      <c r="M17" s="223"/>
      <c r="N17" s="223"/>
      <c r="O17" s="223"/>
      <c r="P17" s="223"/>
      <c r="Q17" s="223"/>
      <c r="R17" s="223"/>
      <c r="S17" s="223"/>
      <c r="T17" s="224"/>
      <c r="U17" s="223"/>
      <c r="V17" s="594"/>
      <c r="W17" s="595"/>
      <c r="X17" s="596"/>
      <c r="Y17" s="198"/>
      <c r="Z17" s="198"/>
      <c r="AA17" s="198"/>
      <c r="AB17" s="198"/>
      <c r="AC17" s="198"/>
      <c r="AD17" s="198"/>
      <c r="AE17" s="198"/>
      <c r="AF17" s="198"/>
      <c r="AG17" s="198"/>
      <c r="AH17" s="198"/>
      <c r="AI17" s="198"/>
      <c r="AJ17" s="198"/>
    </row>
    <row r="18" spans="1:51" s="199" customFormat="1" ht="13.5" customHeight="1" x14ac:dyDescent="0.25">
      <c r="A18" s="585"/>
      <c r="B18" s="586"/>
      <c r="C18" s="586"/>
      <c r="D18" s="586"/>
      <c r="E18" s="586"/>
      <c r="F18" s="586"/>
      <c r="G18" s="586"/>
      <c r="H18" s="586"/>
      <c r="I18" s="587"/>
      <c r="J18" s="222" t="s">
        <v>119</v>
      </c>
      <c r="K18" s="223" t="s">
        <v>129</v>
      </c>
      <c r="L18" s="223"/>
      <c r="M18" s="223"/>
      <c r="N18" s="223"/>
      <c r="O18" s="223"/>
      <c r="P18" s="223"/>
      <c r="Q18" s="223"/>
      <c r="R18" s="223"/>
      <c r="S18" s="223"/>
      <c r="T18" s="224"/>
      <c r="U18" s="223"/>
      <c r="V18" s="594"/>
      <c r="W18" s="595"/>
      <c r="X18" s="596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</row>
    <row r="19" spans="1:51" s="199" customFormat="1" ht="15.75" customHeight="1" x14ac:dyDescent="0.25">
      <c r="A19" s="588"/>
      <c r="B19" s="589"/>
      <c r="C19" s="589"/>
      <c r="D19" s="589"/>
      <c r="E19" s="589"/>
      <c r="F19" s="589"/>
      <c r="G19" s="589"/>
      <c r="H19" s="589"/>
      <c r="I19" s="590"/>
      <c r="J19" s="226" t="s">
        <v>119</v>
      </c>
      <c r="K19" s="211" t="s">
        <v>130</v>
      </c>
      <c r="L19" s="211"/>
      <c r="M19" s="211"/>
      <c r="N19" s="211"/>
      <c r="O19" s="211"/>
      <c r="P19" s="211"/>
      <c r="Q19" s="211"/>
      <c r="R19" s="211"/>
      <c r="S19" s="211"/>
      <c r="T19" s="212"/>
      <c r="U19" s="211"/>
      <c r="V19" s="597"/>
      <c r="W19" s="598"/>
      <c r="X19" s="599"/>
      <c r="Y19" s="198"/>
      <c r="Z19" s="198"/>
      <c r="AA19" s="198"/>
      <c r="AB19" s="198"/>
      <c r="AC19" s="198"/>
      <c r="AD19" s="198"/>
      <c r="AE19" s="198"/>
      <c r="AF19" s="198"/>
      <c r="AG19" s="198"/>
      <c r="AH19" s="198"/>
      <c r="AI19" s="198"/>
      <c r="AJ19" s="198"/>
    </row>
    <row r="20" spans="1:51" s="199" customFormat="1" ht="15.75" customHeight="1" x14ac:dyDescent="0.25">
      <c r="A20" s="585" t="s">
        <v>131</v>
      </c>
      <c r="B20" s="586"/>
      <c r="C20" s="586"/>
      <c r="D20" s="586"/>
      <c r="E20" s="586"/>
      <c r="F20" s="586"/>
      <c r="G20" s="586"/>
      <c r="H20" s="586"/>
      <c r="I20" s="587"/>
      <c r="J20" s="220" t="s">
        <v>119</v>
      </c>
      <c r="K20" s="200" t="s">
        <v>741</v>
      </c>
      <c r="L20" s="196"/>
      <c r="M20" s="196"/>
      <c r="N20" s="196"/>
      <c r="O20" s="196"/>
      <c r="P20" s="196"/>
      <c r="Q20" s="196"/>
      <c r="R20" s="196"/>
      <c r="S20" s="196"/>
      <c r="T20" s="207"/>
      <c r="U20" s="196"/>
      <c r="V20" s="575"/>
      <c r="W20" s="576"/>
      <c r="X20" s="577"/>
      <c r="Y20" s="198"/>
      <c r="Z20" s="198"/>
      <c r="AA20" s="198"/>
      <c r="AB20" s="198"/>
      <c r="AC20" s="198"/>
      <c r="AD20" s="198"/>
      <c r="AE20" s="198"/>
      <c r="AF20" s="198"/>
      <c r="AG20" s="198"/>
      <c r="AH20" s="198"/>
      <c r="AI20" s="198"/>
      <c r="AJ20" s="198"/>
    </row>
    <row r="21" spans="1:51" s="199" customFormat="1" ht="15.75" customHeight="1" x14ac:dyDescent="0.25">
      <c r="A21" s="219"/>
      <c r="B21" s="220"/>
      <c r="C21" s="220"/>
      <c r="D21" s="220"/>
      <c r="E21" s="220"/>
      <c r="F21" s="220"/>
      <c r="G21" s="220"/>
      <c r="H21" s="220"/>
      <c r="I21" s="221"/>
      <c r="J21" s="229"/>
      <c r="K21" s="200" t="s">
        <v>742</v>
      </c>
      <c r="L21" s="196"/>
      <c r="M21" s="196"/>
      <c r="N21" s="196"/>
      <c r="O21" s="196"/>
      <c r="P21" s="196"/>
      <c r="Q21" s="196"/>
      <c r="R21" s="196"/>
      <c r="S21" s="196"/>
      <c r="T21" s="207"/>
      <c r="U21" s="196"/>
      <c r="V21" s="575"/>
      <c r="W21" s="576"/>
      <c r="X21" s="577"/>
      <c r="Y21" s="198"/>
      <c r="Z21" s="198"/>
      <c r="AA21" s="198"/>
      <c r="AB21" s="198"/>
      <c r="AC21" s="198"/>
      <c r="AD21" s="198"/>
      <c r="AE21" s="198"/>
      <c r="AF21" s="198"/>
      <c r="AG21" s="198"/>
      <c r="AH21" s="198"/>
      <c r="AI21" s="198"/>
      <c r="AJ21" s="198"/>
    </row>
    <row r="22" spans="1:51" s="199" customFormat="1" ht="15.75" x14ac:dyDescent="0.25">
      <c r="A22" s="219"/>
      <c r="B22" s="220"/>
      <c r="C22" s="220"/>
      <c r="D22" s="220"/>
      <c r="E22" s="220"/>
      <c r="F22" s="220"/>
      <c r="G22" s="220"/>
      <c r="H22" s="220"/>
      <c r="I22" s="221"/>
      <c r="J22" s="229"/>
      <c r="K22" s="600" t="s">
        <v>743</v>
      </c>
      <c r="L22" s="600"/>
      <c r="M22" s="600"/>
      <c r="N22" s="600"/>
      <c r="O22" s="600"/>
      <c r="P22" s="600"/>
      <c r="Q22" s="600"/>
      <c r="R22" s="600"/>
      <c r="S22" s="600"/>
      <c r="T22" s="600"/>
      <c r="U22" s="601"/>
      <c r="V22" s="575"/>
      <c r="W22" s="576"/>
      <c r="X22" s="577"/>
      <c r="Y22" s="198"/>
      <c r="Z22" s="198"/>
      <c r="AA22" s="198"/>
      <c r="AB22" s="198"/>
      <c r="AC22" s="198"/>
      <c r="AD22" s="198"/>
      <c r="AE22" s="198"/>
      <c r="AF22" s="198"/>
      <c r="AG22" s="198"/>
      <c r="AH22" s="198"/>
      <c r="AI22" s="198"/>
      <c r="AJ22" s="198"/>
    </row>
    <row r="23" spans="1:51" s="199" customFormat="1" ht="15.75" customHeight="1" x14ac:dyDescent="0.25">
      <c r="A23" s="219"/>
      <c r="B23" s="220"/>
      <c r="C23" s="220"/>
      <c r="D23" s="220"/>
      <c r="E23" s="220"/>
      <c r="F23" s="220"/>
      <c r="G23" s="220"/>
      <c r="H23" s="220"/>
      <c r="I23" s="221"/>
      <c r="J23" s="229"/>
      <c r="K23" s="204" t="s">
        <v>744</v>
      </c>
      <c r="L23" s="211"/>
      <c r="M23" s="211"/>
      <c r="N23" s="211"/>
      <c r="O23" s="211"/>
      <c r="P23" s="211"/>
      <c r="Q23" s="211"/>
      <c r="R23" s="211"/>
      <c r="S23" s="211"/>
      <c r="T23" s="212"/>
      <c r="U23" s="211"/>
      <c r="V23" s="575"/>
      <c r="W23" s="576"/>
      <c r="X23" s="577"/>
      <c r="Y23" s="198"/>
      <c r="Z23" s="198"/>
      <c r="AA23" s="198"/>
      <c r="AB23" s="198"/>
      <c r="AC23" s="198"/>
      <c r="AD23" s="198"/>
      <c r="AE23" s="198"/>
      <c r="AF23" s="198"/>
      <c r="AG23" s="198"/>
      <c r="AH23" s="198"/>
      <c r="AI23" s="198"/>
      <c r="AJ23" s="198"/>
    </row>
    <row r="24" spans="1:51" s="199" customFormat="1" ht="16.5" customHeight="1" x14ac:dyDescent="0.25">
      <c r="A24" s="573" t="s">
        <v>132</v>
      </c>
      <c r="B24" s="574"/>
      <c r="C24" s="574"/>
      <c r="D24" s="574"/>
      <c r="E24" s="574"/>
      <c r="F24" s="574"/>
      <c r="G24" s="574"/>
      <c r="H24" s="574"/>
      <c r="I24" s="583"/>
      <c r="J24" s="203" t="s">
        <v>119</v>
      </c>
      <c r="K24" s="200"/>
      <c r="L24" s="196"/>
      <c r="M24" s="196"/>
      <c r="N24" s="196"/>
      <c r="O24" s="196"/>
      <c r="P24" s="196"/>
      <c r="Q24" s="196"/>
      <c r="R24" s="196"/>
      <c r="S24" s="196"/>
      <c r="T24" s="207"/>
      <c r="U24" s="196"/>
      <c r="V24" s="230"/>
      <c r="W24" s="196"/>
      <c r="X24" s="197"/>
      <c r="Y24" s="198"/>
      <c r="Z24" s="198"/>
      <c r="AA24" s="198"/>
      <c r="AB24" s="198"/>
      <c r="AC24" s="198"/>
      <c r="AD24" s="198"/>
      <c r="AE24" s="198"/>
      <c r="AF24" s="198"/>
      <c r="AG24" s="198"/>
      <c r="AH24" s="198"/>
      <c r="AI24" s="198"/>
      <c r="AJ24" s="198"/>
    </row>
    <row r="25" spans="1:51" s="199" customFormat="1" ht="16.5" customHeight="1" x14ac:dyDescent="0.25">
      <c r="A25" s="208"/>
      <c r="B25" s="209"/>
      <c r="C25" s="209"/>
      <c r="D25" s="209"/>
      <c r="E25" s="209"/>
      <c r="F25" s="209"/>
      <c r="G25" s="209"/>
      <c r="H25" s="209"/>
      <c r="I25" s="225"/>
      <c r="J25" s="209"/>
      <c r="K25" s="200"/>
      <c r="L25" s="211"/>
      <c r="M25" s="211"/>
      <c r="N25" s="211"/>
      <c r="O25" s="211"/>
      <c r="P25" s="211"/>
      <c r="Q25" s="211"/>
      <c r="R25" s="211"/>
      <c r="S25" s="211"/>
      <c r="T25" s="212"/>
      <c r="U25" s="211"/>
      <c r="V25" s="230"/>
      <c r="W25" s="211"/>
      <c r="X25" s="213"/>
      <c r="Y25" s="198"/>
      <c r="Z25" s="198"/>
      <c r="AA25" s="198"/>
      <c r="AB25" s="198"/>
      <c r="AC25" s="198"/>
      <c r="AD25" s="198"/>
      <c r="AE25" s="198"/>
      <c r="AF25" s="198"/>
      <c r="AG25" s="198"/>
      <c r="AH25" s="198"/>
      <c r="AI25" s="198"/>
      <c r="AJ25" s="198"/>
    </row>
    <row r="26" spans="1:51" s="199" customFormat="1" ht="16.5" customHeight="1" x14ac:dyDescent="0.25">
      <c r="A26" s="208"/>
      <c r="B26" s="209"/>
      <c r="C26" s="209"/>
      <c r="D26" s="209"/>
      <c r="E26" s="209"/>
      <c r="F26" s="209"/>
      <c r="G26" s="209"/>
      <c r="H26" s="209"/>
      <c r="I26" s="225"/>
      <c r="J26" s="209"/>
      <c r="K26" s="200"/>
      <c r="L26" s="211"/>
      <c r="M26" s="211"/>
      <c r="N26" s="211"/>
      <c r="O26" s="211"/>
      <c r="P26" s="211"/>
      <c r="Q26" s="211"/>
      <c r="R26" s="211"/>
      <c r="S26" s="211"/>
      <c r="T26" s="212"/>
      <c r="U26" s="211"/>
      <c r="V26" s="230"/>
      <c r="W26" s="211"/>
      <c r="X26" s="213"/>
      <c r="Y26" s="198"/>
      <c r="Z26" s="198"/>
      <c r="AA26" s="198"/>
      <c r="AB26" s="198"/>
      <c r="AC26" s="198"/>
      <c r="AD26" s="198"/>
      <c r="AE26" s="198"/>
      <c r="AF26" s="198"/>
      <c r="AG26" s="198"/>
      <c r="AH26" s="198"/>
      <c r="AI26" s="198"/>
      <c r="AJ26" s="198"/>
    </row>
    <row r="27" spans="1:51" s="199" customFormat="1" ht="16.5" customHeight="1" x14ac:dyDescent="0.25">
      <c r="A27" s="208"/>
      <c r="B27" s="209"/>
      <c r="C27" s="209"/>
      <c r="D27" s="209"/>
      <c r="E27" s="209"/>
      <c r="F27" s="209"/>
      <c r="G27" s="209"/>
      <c r="H27" s="209"/>
      <c r="I27" s="225"/>
      <c r="J27" s="209"/>
      <c r="K27" s="200"/>
      <c r="L27" s="211"/>
      <c r="M27" s="211"/>
      <c r="N27" s="211"/>
      <c r="O27" s="211"/>
      <c r="P27" s="211"/>
      <c r="Q27" s="211"/>
      <c r="R27" s="211"/>
      <c r="S27" s="211"/>
      <c r="T27" s="212"/>
      <c r="U27" s="211"/>
      <c r="V27" s="231"/>
      <c r="W27" s="211"/>
      <c r="X27" s="213"/>
      <c r="Y27" s="198"/>
      <c r="Z27" s="198"/>
      <c r="AA27" s="198"/>
      <c r="AB27" s="198"/>
      <c r="AC27" s="198"/>
      <c r="AD27" s="198"/>
      <c r="AE27" s="198"/>
      <c r="AF27" s="198"/>
      <c r="AG27" s="198"/>
      <c r="AH27" s="198"/>
      <c r="AI27" s="198"/>
      <c r="AJ27" s="198"/>
    </row>
    <row r="28" spans="1:51" s="199" customFormat="1" ht="18.75" customHeight="1" x14ac:dyDescent="0.25">
      <c r="A28" s="602" t="s">
        <v>133</v>
      </c>
      <c r="B28" s="603"/>
      <c r="C28" s="603"/>
      <c r="D28" s="603"/>
      <c r="E28" s="603"/>
      <c r="F28" s="603"/>
      <c r="G28" s="603"/>
      <c r="H28" s="603"/>
      <c r="I28" s="604"/>
      <c r="J28" s="209" t="s">
        <v>119</v>
      </c>
      <c r="K28" s="200"/>
      <c r="L28" s="211"/>
      <c r="M28" s="211"/>
      <c r="N28" s="211"/>
      <c r="O28" s="211"/>
      <c r="P28" s="211"/>
      <c r="Q28" s="211"/>
      <c r="R28" s="211"/>
      <c r="S28" s="211"/>
      <c r="T28" s="212"/>
      <c r="U28" s="211"/>
      <c r="V28" s="200"/>
      <c r="W28" s="232"/>
      <c r="X28" s="233"/>
      <c r="Y28" s="198"/>
      <c r="Z28" s="198"/>
      <c r="AA28" s="198"/>
      <c r="AB28" s="198"/>
      <c r="AC28" s="198"/>
      <c r="AD28" s="198"/>
      <c r="AE28" s="198"/>
      <c r="AF28" s="198"/>
      <c r="AG28" s="198"/>
      <c r="AH28" s="198"/>
      <c r="AI28" s="198"/>
      <c r="AJ28" s="198"/>
    </row>
    <row r="29" spans="1:51" s="199" customFormat="1" ht="15.75" x14ac:dyDescent="0.25">
      <c r="A29" s="605" t="s">
        <v>134</v>
      </c>
      <c r="B29" s="606"/>
      <c r="C29" s="606"/>
      <c r="D29" s="606"/>
      <c r="E29" s="606"/>
      <c r="F29" s="606"/>
      <c r="G29" s="606"/>
      <c r="H29" s="606"/>
      <c r="I29" s="606"/>
      <c r="J29" s="606"/>
      <c r="K29" s="606"/>
      <c r="L29" s="606"/>
      <c r="M29" s="606"/>
      <c r="N29" s="606"/>
      <c r="O29" s="606"/>
      <c r="P29" s="606"/>
      <c r="Q29" s="606"/>
      <c r="R29" s="606"/>
      <c r="S29" s="606"/>
      <c r="T29" s="606"/>
      <c r="U29" s="606"/>
      <c r="V29" s="606"/>
      <c r="W29" s="606"/>
      <c r="X29" s="607"/>
    </row>
    <row r="30" spans="1:51" s="199" customFormat="1" ht="16.5" thickBot="1" x14ac:dyDescent="0.3">
      <c r="A30" s="608" t="s">
        <v>135</v>
      </c>
      <c r="B30" s="609"/>
      <c r="C30" s="609"/>
      <c r="D30" s="609"/>
      <c r="E30" s="609"/>
      <c r="F30" s="609"/>
      <c r="G30" s="609"/>
      <c r="H30" s="609"/>
      <c r="I30" s="609"/>
      <c r="J30" s="609"/>
      <c r="K30" s="609"/>
      <c r="L30" s="609"/>
      <c r="M30" s="609"/>
      <c r="N30" s="609"/>
      <c r="O30" s="609"/>
      <c r="P30" s="609"/>
      <c r="Q30" s="609"/>
      <c r="R30" s="609"/>
      <c r="S30" s="609"/>
      <c r="T30" s="609"/>
      <c r="U30" s="609"/>
      <c r="V30" s="609"/>
      <c r="W30" s="609"/>
      <c r="X30" s="610"/>
    </row>
    <row r="31" spans="1:51" s="199" customFormat="1" ht="10.5" customHeight="1" x14ac:dyDescent="0.25">
      <c r="A31" s="611" t="s">
        <v>136</v>
      </c>
      <c r="B31" s="612"/>
      <c r="C31" s="612"/>
      <c r="D31" s="612"/>
      <c r="E31" s="612"/>
      <c r="F31" s="612"/>
      <c r="G31" s="612"/>
      <c r="H31" s="613"/>
      <c r="I31" s="620" t="s">
        <v>137</v>
      </c>
      <c r="J31" s="612"/>
      <c r="K31" s="613"/>
      <c r="L31" s="620" t="s">
        <v>138</v>
      </c>
      <c r="M31" s="612"/>
      <c r="N31" s="612"/>
      <c r="O31" s="612"/>
      <c r="P31" s="612"/>
      <c r="Q31" s="612"/>
      <c r="R31" s="612"/>
      <c r="S31" s="612"/>
      <c r="T31" s="612"/>
      <c r="U31" s="612"/>
      <c r="V31" s="613"/>
      <c r="W31" s="623" t="s">
        <v>139</v>
      </c>
      <c r="X31" s="625" t="s">
        <v>140</v>
      </c>
      <c r="Y31" s="636" t="s">
        <v>567</v>
      </c>
      <c r="Z31" s="636"/>
      <c r="AA31" s="636"/>
      <c r="AB31" s="636"/>
      <c r="AC31" s="636"/>
      <c r="AD31" s="636"/>
      <c r="AE31" s="636"/>
      <c r="AF31" s="636"/>
      <c r="AG31" s="636"/>
      <c r="AH31" s="636"/>
      <c r="AI31" s="636"/>
      <c r="AJ31" s="637"/>
      <c r="AK31" s="642" t="s">
        <v>139</v>
      </c>
      <c r="AL31" s="645" t="s">
        <v>568</v>
      </c>
      <c r="AM31" s="636"/>
      <c r="AN31" s="636"/>
      <c r="AO31" s="636"/>
      <c r="AP31" s="636"/>
      <c r="AQ31" s="636"/>
      <c r="AR31" s="636"/>
      <c r="AS31" s="636"/>
      <c r="AT31" s="636"/>
      <c r="AU31" s="636"/>
      <c r="AV31" s="636"/>
      <c r="AW31" s="637"/>
      <c r="AX31" s="642" t="s">
        <v>139</v>
      </c>
      <c r="AY31" s="648" t="s">
        <v>141</v>
      </c>
    </row>
    <row r="32" spans="1:51" s="199" customFormat="1" ht="6.75" customHeight="1" x14ac:dyDescent="0.25">
      <c r="A32" s="614"/>
      <c r="B32" s="615"/>
      <c r="C32" s="615"/>
      <c r="D32" s="615"/>
      <c r="E32" s="615"/>
      <c r="F32" s="615"/>
      <c r="G32" s="615"/>
      <c r="H32" s="616"/>
      <c r="I32" s="621"/>
      <c r="J32" s="615"/>
      <c r="K32" s="616"/>
      <c r="L32" s="621"/>
      <c r="M32" s="615"/>
      <c r="N32" s="615"/>
      <c r="O32" s="615"/>
      <c r="P32" s="615"/>
      <c r="Q32" s="615"/>
      <c r="R32" s="615"/>
      <c r="S32" s="615"/>
      <c r="T32" s="615"/>
      <c r="U32" s="615"/>
      <c r="V32" s="616"/>
      <c r="W32" s="624"/>
      <c r="X32" s="626"/>
      <c r="Y32" s="638"/>
      <c r="Z32" s="638"/>
      <c r="AA32" s="638"/>
      <c r="AB32" s="638"/>
      <c r="AC32" s="638"/>
      <c r="AD32" s="638"/>
      <c r="AE32" s="638"/>
      <c r="AF32" s="638"/>
      <c r="AG32" s="638"/>
      <c r="AH32" s="638"/>
      <c r="AI32" s="638"/>
      <c r="AJ32" s="639"/>
      <c r="AK32" s="643"/>
      <c r="AL32" s="646"/>
      <c r="AM32" s="638"/>
      <c r="AN32" s="638"/>
      <c r="AO32" s="638"/>
      <c r="AP32" s="638"/>
      <c r="AQ32" s="638"/>
      <c r="AR32" s="638"/>
      <c r="AS32" s="638"/>
      <c r="AT32" s="638"/>
      <c r="AU32" s="638"/>
      <c r="AV32" s="638"/>
      <c r="AW32" s="639"/>
      <c r="AX32" s="643"/>
      <c r="AY32" s="649"/>
    </row>
    <row r="33" spans="1:51" s="199" customFormat="1" ht="10.5" customHeight="1" thickBot="1" x14ac:dyDescent="0.3">
      <c r="A33" s="614"/>
      <c r="B33" s="615"/>
      <c r="C33" s="615"/>
      <c r="D33" s="615"/>
      <c r="E33" s="615"/>
      <c r="F33" s="615"/>
      <c r="G33" s="615"/>
      <c r="H33" s="616"/>
      <c r="I33" s="621"/>
      <c r="J33" s="615"/>
      <c r="K33" s="616"/>
      <c r="L33" s="628" t="s">
        <v>79</v>
      </c>
      <c r="M33" s="629"/>
      <c r="N33" s="629"/>
      <c r="O33" s="629"/>
      <c r="P33" s="629"/>
      <c r="Q33" s="629"/>
      <c r="R33" s="629"/>
      <c r="S33" s="630"/>
      <c r="T33" s="631" t="s">
        <v>80</v>
      </c>
      <c r="U33" s="631" t="s">
        <v>81</v>
      </c>
      <c r="V33" s="631" t="s">
        <v>82</v>
      </c>
      <c r="W33" s="624"/>
      <c r="X33" s="626"/>
      <c r="Y33" s="640"/>
      <c r="Z33" s="640"/>
      <c r="AA33" s="640"/>
      <c r="AB33" s="640"/>
      <c r="AC33" s="640"/>
      <c r="AD33" s="640"/>
      <c r="AE33" s="640"/>
      <c r="AF33" s="640"/>
      <c r="AG33" s="640"/>
      <c r="AH33" s="640"/>
      <c r="AI33" s="640"/>
      <c r="AJ33" s="641"/>
      <c r="AK33" s="643"/>
      <c r="AL33" s="647"/>
      <c r="AM33" s="640"/>
      <c r="AN33" s="640"/>
      <c r="AO33" s="640"/>
      <c r="AP33" s="640"/>
      <c r="AQ33" s="640"/>
      <c r="AR33" s="640"/>
      <c r="AS33" s="640"/>
      <c r="AT33" s="640"/>
      <c r="AU33" s="640"/>
      <c r="AV33" s="640"/>
      <c r="AW33" s="641"/>
      <c r="AX33" s="643"/>
      <c r="AY33" s="649"/>
    </row>
    <row r="34" spans="1:51" s="199" customFormat="1" ht="8.25" customHeight="1" thickBot="1" x14ac:dyDescent="0.3">
      <c r="A34" s="614"/>
      <c r="B34" s="615"/>
      <c r="C34" s="615"/>
      <c r="D34" s="615"/>
      <c r="E34" s="615"/>
      <c r="F34" s="615"/>
      <c r="G34" s="615"/>
      <c r="H34" s="616"/>
      <c r="I34" s="621"/>
      <c r="J34" s="615"/>
      <c r="K34" s="616"/>
      <c r="L34" s="621"/>
      <c r="M34" s="615"/>
      <c r="N34" s="615"/>
      <c r="O34" s="615"/>
      <c r="P34" s="615"/>
      <c r="Q34" s="615"/>
      <c r="R34" s="615"/>
      <c r="S34" s="616"/>
      <c r="T34" s="632"/>
      <c r="U34" s="632"/>
      <c r="V34" s="632"/>
      <c r="W34" s="634" t="s">
        <v>142</v>
      </c>
      <c r="X34" s="626"/>
      <c r="Y34" s="653" t="s">
        <v>50</v>
      </c>
      <c r="Z34" s="655" t="s">
        <v>53</v>
      </c>
      <c r="AA34" s="655" t="s">
        <v>55</v>
      </c>
      <c r="AB34" s="655" t="s">
        <v>57</v>
      </c>
      <c r="AC34" s="657" t="s">
        <v>59</v>
      </c>
      <c r="AD34" s="657" t="s">
        <v>61</v>
      </c>
      <c r="AE34" s="657" t="s">
        <v>101</v>
      </c>
      <c r="AF34" s="657" t="s">
        <v>107</v>
      </c>
      <c r="AG34" s="651" t="s">
        <v>143</v>
      </c>
      <c r="AH34" s="651" t="s">
        <v>144</v>
      </c>
      <c r="AI34" s="651" t="s">
        <v>145</v>
      </c>
      <c r="AJ34" s="651" t="s">
        <v>146</v>
      </c>
      <c r="AK34" s="643"/>
      <c r="AL34" s="655" t="s">
        <v>50</v>
      </c>
      <c r="AM34" s="655" t="s">
        <v>53</v>
      </c>
      <c r="AN34" s="655" t="s">
        <v>55</v>
      </c>
      <c r="AO34" s="655" t="s">
        <v>57</v>
      </c>
      <c r="AP34" s="657" t="s">
        <v>59</v>
      </c>
      <c r="AQ34" s="657" t="s">
        <v>61</v>
      </c>
      <c r="AR34" s="657" t="s">
        <v>101</v>
      </c>
      <c r="AS34" s="657" t="s">
        <v>107</v>
      </c>
      <c r="AT34" s="651" t="s">
        <v>143</v>
      </c>
      <c r="AU34" s="651" t="s">
        <v>144</v>
      </c>
      <c r="AV34" s="651" t="s">
        <v>145</v>
      </c>
      <c r="AW34" s="651" t="s">
        <v>146</v>
      </c>
      <c r="AX34" s="643"/>
      <c r="AY34" s="649"/>
    </row>
    <row r="35" spans="1:51" s="199" customFormat="1" ht="12.75" customHeight="1" thickBot="1" x14ac:dyDescent="0.3">
      <c r="A35" s="617"/>
      <c r="B35" s="618"/>
      <c r="C35" s="618"/>
      <c r="D35" s="618"/>
      <c r="E35" s="618"/>
      <c r="F35" s="618"/>
      <c r="G35" s="618"/>
      <c r="H35" s="619"/>
      <c r="I35" s="622"/>
      <c r="J35" s="618"/>
      <c r="K35" s="619"/>
      <c r="L35" s="622"/>
      <c r="M35" s="618"/>
      <c r="N35" s="618"/>
      <c r="O35" s="618"/>
      <c r="P35" s="618"/>
      <c r="Q35" s="618"/>
      <c r="R35" s="618"/>
      <c r="S35" s="619"/>
      <c r="T35" s="633"/>
      <c r="U35" s="633"/>
      <c r="V35" s="633"/>
      <c r="W35" s="635"/>
      <c r="X35" s="627"/>
      <c r="Y35" s="654"/>
      <c r="Z35" s="656"/>
      <c r="AA35" s="656"/>
      <c r="AB35" s="656"/>
      <c r="AC35" s="658"/>
      <c r="AD35" s="658"/>
      <c r="AE35" s="658"/>
      <c r="AF35" s="658"/>
      <c r="AG35" s="652"/>
      <c r="AH35" s="652"/>
      <c r="AI35" s="652"/>
      <c r="AJ35" s="652"/>
      <c r="AK35" s="644"/>
      <c r="AL35" s="656"/>
      <c r="AM35" s="656"/>
      <c r="AN35" s="656"/>
      <c r="AO35" s="656"/>
      <c r="AP35" s="658"/>
      <c r="AQ35" s="658"/>
      <c r="AR35" s="658"/>
      <c r="AS35" s="658"/>
      <c r="AT35" s="652"/>
      <c r="AU35" s="652"/>
      <c r="AV35" s="652"/>
      <c r="AW35" s="652"/>
      <c r="AX35" s="644"/>
      <c r="AY35" s="650"/>
    </row>
    <row r="36" spans="1:51" s="199" customFormat="1" ht="15.75" x14ac:dyDescent="0.25">
      <c r="A36" s="661">
        <v>1</v>
      </c>
      <c r="B36" s="662"/>
      <c r="C36" s="662"/>
      <c r="D36" s="662"/>
      <c r="E36" s="662"/>
      <c r="F36" s="662"/>
      <c r="G36" s="662"/>
      <c r="H36" s="663"/>
      <c r="I36" s="664">
        <v>2</v>
      </c>
      <c r="J36" s="665"/>
      <c r="K36" s="666"/>
      <c r="L36" s="664">
        <v>3</v>
      </c>
      <c r="M36" s="665"/>
      <c r="N36" s="665"/>
      <c r="O36" s="665"/>
      <c r="P36" s="665"/>
      <c r="Q36" s="665"/>
      <c r="R36" s="665"/>
      <c r="S36" s="665"/>
      <c r="T36" s="234">
        <v>4</v>
      </c>
      <c r="U36" s="235">
        <v>5</v>
      </c>
      <c r="V36" s="236">
        <v>6</v>
      </c>
      <c r="W36" s="237" t="s">
        <v>147</v>
      </c>
      <c r="X36" s="237">
        <v>8</v>
      </c>
      <c r="Y36" s="238"/>
      <c r="Z36" s="239"/>
      <c r="AA36" s="239"/>
      <c r="AB36" s="239"/>
      <c r="AC36" s="240"/>
      <c r="AD36" s="240"/>
      <c r="AE36" s="240"/>
      <c r="AF36" s="240"/>
      <c r="AG36" s="241"/>
      <c r="AH36" s="241"/>
      <c r="AI36" s="241"/>
      <c r="AJ36" s="242"/>
      <c r="AK36" s="243"/>
      <c r="AL36" s="244"/>
      <c r="AM36" s="239"/>
      <c r="AN36" s="239"/>
      <c r="AO36" s="239"/>
      <c r="AP36" s="240"/>
      <c r="AQ36" s="240"/>
      <c r="AR36" s="240"/>
      <c r="AS36" s="240"/>
      <c r="AT36" s="241"/>
      <c r="AU36" s="241"/>
      <c r="AV36" s="241"/>
      <c r="AW36" s="242"/>
      <c r="AX36" s="243"/>
      <c r="AY36" s="245"/>
    </row>
    <row r="37" spans="1:51" s="268" customFormat="1" ht="15" customHeight="1" x14ac:dyDescent="0.25">
      <c r="A37" s="246"/>
      <c r="B37" s="247" t="s">
        <v>59</v>
      </c>
      <c r="C37" s="247"/>
      <c r="D37" s="247"/>
      <c r="E37" s="247"/>
      <c r="F37" s="247"/>
      <c r="G37" s="247"/>
      <c r="H37" s="248"/>
      <c r="I37" s="249"/>
      <c r="J37" s="250" t="s">
        <v>148</v>
      </c>
      <c r="K37" s="251"/>
      <c r="L37" s="252"/>
      <c r="M37" s="253"/>
      <c r="N37" s="253"/>
      <c r="O37" s="253"/>
      <c r="P37" s="253"/>
      <c r="Q37" s="253"/>
      <c r="R37" s="253"/>
      <c r="S37" s="253"/>
      <c r="T37" s="254"/>
      <c r="U37" s="254"/>
      <c r="V37" s="255"/>
      <c r="W37" s="256">
        <f t="shared" ref="W37:W38" si="0">W38</f>
        <v>2000000</v>
      </c>
      <c r="X37" s="257"/>
      <c r="Y37" s="258"/>
      <c r="Z37" s="259"/>
      <c r="AA37" s="260"/>
      <c r="AB37" s="261"/>
      <c r="AC37" s="262"/>
      <c r="AD37" s="262"/>
      <c r="AE37" s="262"/>
      <c r="AF37" s="262"/>
      <c r="AG37" s="263"/>
      <c r="AH37" s="263"/>
      <c r="AI37" s="263"/>
      <c r="AJ37" s="264"/>
      <c r="AK37" s="265"/>
      <c r="AL37" s="266"/>
      <c r="AM37" s="259"/>
      <c r="AN37" s="260"/>
      <c r="AO37" s="261"/>
      <c r="AP37" s="262"/>
      <c r="AQ37" s="262"/>
      <c r="AR37" s="262"/>
      <c r="AS37" s="262"/>
      <c r="AT37" s="263"/>
      <c r="AU37" s="263"/>
      <c r="AV37" s="263"/>
      <c r="AW37" s="264"/>
      <c r="AX37" s="265"/>
      <c r="AY37" s="267"/>
    </row>
    <row r="38" spans="1:51" s="268" customFormat="1" ht="15" customHeight="1" x14ac:dyDescent="0.25">
      <c r="A38" s="269"/>
      <c r="B38" s="270" t="s">
        <v>59</v>
      </c>
      <c r="C38" s="334" t="s">
        <v>50</v>
      </c>
      <c r="D38" s="271"/>
      <c r="E38" s="271"/>
      <c r="F38" s="272"/>
      <c r="G38" s="270"/>
      <c r="H38" s="273"/>
      <c r="I38" s="274"/>
      <c r="J38" s="275" t="s">
        <v>149</v>
      </c>
      <c r="K38" s="276"/>
      <c r="L38" s="277"/>
      <c r="M38" s="278"/>
      <c r="N38" s="278"/>
      <c r="O38" s="278"/>
      <c r="P38" s="278"/>
      <c r="Q38" s="278"/>
      <c r="R38" s="278"/>
      <c r="S38" s="278"/>
      <c r="T38" s="279"/>
      <c r="U38" s="279"/>
      <c r="V38" s="280"/>
      <c r="W38" s="281">
        <f t="shared" si="0"/>
        <v>2000000</v>
      </c>
      <c r="X38" s="257"/>
      <c r="Y38" s="258"/>
      <c r="Z38" s="259"/>
      <c r="AA38" s="261"/>
      <c r="AB38" s="261"/>
      <c r="AC38" s="262"/>
      <c r="AD38" s="262"/>
      <c r="AE38" s="262"/>
      <c r="AF38" s="262"/>
      <c r="AG38" s="263"/>
      <c r="AH38" s="263"/>
      <c r="AI38" s="263"/>
      <c r="AJ38" s="264"/>
      <c r="AK38" s="265"/>
      <c r="AL38" s="266"/>
      <c r="AM38" s="259"/>
      <c r="AN38" s="261"/>
      <c r="AO38" s="261"/>
      <c r="AP38" s="262"/>
      <c r="AQ38" s="262"/>
      <c r="AR38" s="262"/>
      <c r="AS38" s="262"/>
      <c r="AT38" s="263"/>
      <c r="AU38" s="263"/>
      <c r="AV38" s="263"/>
      <c r="AW38" s="264"/>
      <c r="AX38" s="265"/>
      <c r="AY38" s="267"/>
    </row>
    <row r="39" spans="1:51" s="268" customFormat="1" ht="15" customHeight="1" x14ac:dyDescent="0.25">
      <c r="A39" s="269"/>
      <c r="B39" s="270" t="s">
        <v>59</v>
      </c>
      <c r="C39" s="334" t="s">
        <v>50</v>
      </c>
      <c r="D39" s="288" t="s">
        <v>67</v>
      </c>
      <c r="E39" s="271"/>
      <c r="F39" s="271"/>
      <c r="G39" s="270"/>
      <c r="H39" s="273"/>
      <c r="I39" s="282"/>
      <c r="J39" s="283" t="s">
        <v>150</v>
      </c>
      <c r="K39" s="284"/>
      <c r="L39" s="285"/>
      <c r="M39" s="286"/>
      <c r="N39" s="286"/>
      <c r="O39" s="286"/>
      <c r="P39" s="286"/>
      <c r="Q39" s="286"/>
      <c r="R39" s="286"/>
      <c r="S39" s="286"/>
      <c r="T39" s="279"/>
      <c r="U39" s="279"/>
      <c r="V39" s="280"/>
      <c r="W39" s="281">
        <f>W40</f>
        <v>2000000</v>
      </c>
      <c r="X39" s="287"/>
      <c r="Y39" s="258"/>
      <c r="Z39" s="259"/>
      <c r="AA39" s="261"/>
      <c r="AB39" s="261"/>
      <c r="AC39" s="262"/>
      <c r="AD39" s="262"/>
      <c r="AE39" s="262"/>
      <c r="AF39" s="262"/>
      <c r="AG39" s="263"/>
      <c r="AH39" s="263"/>
      <c r="AI39" s="263"/>
      <c r="AJ39" s="264"/>
      <c r="AK39" s="265"/>
      <c r="AL39" s="266"/>
      <c r="AM39" s="259"/>
      <c r="AN39" s="261"/>
      <c r="AO39" s="261"/>
      <c r="AP39" s="262"/>
      <c r="AQ39" s="262"/>
      <c r="AR39" s="262"/>
      <c r="AS39" s="262"/>
      <c r="AT39" s="263"/>
      <c r="AU39" s="263"/>
      <c r="AV39" s="263"/>
      <c r="AW39" s="264"/>
      <c r="AX39" s="265"/>
      <c r="AY39" s="267"/>
    </row>
    <row r="40" spans="1:51" s="305" customFormat="1" ht="15" customHeight="1" x14ac:dyDescent="0.25">
      <c r="A40" s="269"/>
      <c r="B40" s="270" t="s">
        <v>59</v>
      </c>
      <c r="C40" s="270" t="s">
        <v>50</v>
      </c>
      <c r="D40" s="288" t="s">
        <v>67</v>
      </c>
      <c r="E40" s="288" t="s">
        <v>67</v>
      </c>
      <c r="F40" s="271"/>
      <c r="G40" s="270"/>
      <c r="H40" s="273"/>
      <c r="I40" s="289"/>
      <c r="J40" s="275" t="s">
        <v>153</v>
      </c>
      <c r="K40" s="290"/>
      <c r="L40" s="291"/>
      <c r="M40" s="292"/>
      <c r="N40" s="292"/>
      <c r="O40" s="292"/>
      <c r="P40" s="292"/>
      <c r="Q40" s="292"/>
      <c r="R40" s="292"/>
      <c r="S40" s="292"/>
      <c r="T40" s="293"/>
      <c r="U40" s="293"/>
      <c r="V40" s="294"/>
      <c r="W40" s="295">
        <f>W41</f>
        <v>2000000</v>
      </c>
      <c r="X40" s="296"/>
      <c r="Y40" s="297"/>
      <c r="Z40" s="259"/>
      <c r="AA40" s="298"/>
      <c r="AB40" s="298"/>
      <c r="AC40" s="299"/>
      <c r="AD40" s="299"/>
      <c r="AE40" s="299"/>
      <c r="AF40" s="299"/>
      <c r="AG40" s="300"/>
      <c r="AH40" s="300"/>
      <c r="AI40" s="300"/>
      <c r="AJ40" s="301"/>
      <c r="AK40" s="302"/>
      <c r="AL40" s="303"/>
      <c r="AM40" s="259"/>
      <c r="AN40" s="298"/>
      <c r="AO40" s="298"/>
      <c r="AP40" s="299"/>
      <c r="AQ40" s="299"/>
      <c r="AR40" s="299"/>
      <c r="AS40" s="299"/>
      <c r="AT40" s="300"/>
      <c r="AU40" s="300"/>
      <c r="AV40" s="300"/>
      <c r="AW40" s="301"/>
      <c r="AX40" s="302"/>
      <c r="AY40" s="304"/>
    </row>
    <row r="41" spans="1:51" s="305" customFormat="1" ht="15" customHeight="1" x14ac:dyDescent="0.25">
      <c r="A41" s="269"/>
      <c r="B41" s="270" t="s">
        <v>59</v>
      </c>
      <c r="C41" s="270" t="s">
        <v>50</v>
      </c>
      <c r="D41" s="288" t="s">
        <v>67</v>
      </c>
      <c r="E41" s="288" t="s">
        <v>67</v>
      </c>
      <c r="F41" s="271" t="s">
        <v>65</v>
      </c>
      <c r="G41" s="270"/>
      <c r="H41" s="273"/>
      <c r="I41" s="289"/>
      <c r="J41" s="275" t="s">
        <v>154</v>
      </c>
      <c r="K41" s="290"/>
      <c r="L41" s="291"/>
      <c r="M41" s="292"/>
      <c r="N41" s="292"/>
      <c r="O41" s="292"/>
      <c r="P41" s="292"/>
      <c r="Q41" s="292"/>
      <c r="R41" s="292"/>
      <c r="S41" s="292"/>
      <c r="T41" s="293"/>
      <c r="U41" s="293"/>
      <c r="V41" s="294"/>
      <c r="W41" s="295">
        <f>W43</f>
        <v>2000000</v>
      </c>
      <c r="X41" s="296"/>
      <c r="Y41" s="297"/>
      <c r="Z41" s="259"/>
      <c r="AA41" s="298"/>
      <c r="AB41" s="298"/>
      <c r="AC41" s="299"/>
      <c r="AD41" s="299"/>
      <c r="AE41" s="299"/>
      <c r="AF41" s="299"/>
      <c r="AG41" s="300"/>
      <c r="AH41" s="300"/>
      <c r="AI41" s="300"/>
      <c r="AJ41" s="301"/>
      <c r="AK41" s="302"/>
      <c r="AL41" s="303"/>
      <c r="AM41" s="259"/>
      <c r="AN41" s="298"/>
      <c r="AO41" s="298"/>
      <c r="AP41" s="299"/>
      <c r="AQ41" s="299"/>
      <c r="AR41" s="299"/>
      <c r="AS41" s="299"/>
      <c r="AT41" s="300"/>
      <c r="AU41" s="300"/>
      <c r="AV41" s="300"/>
      <c r="AW41" s="301"/>
      <c r="AX41" s="302"/>
      <c r="AY41" s="304"/>
    </row>
    <row r="42" spans="1:51" s="330" customFormat="1" ht="17.25" customHeight="1" x14ac:dyDescent="0.25">
      <c r="A42" s="306"/>
      <c r="B42" s="307"/>
      <c r="C42" s="307"/>
      <c r="D42" s="309"/>
      <c r="E42" s="309"/>
      <c r="F42" s="308"/>
      <c r="G42" s="310"/>
      <c r="H42" s="311"/>
      <c r="I42" s="312"/>
      <c r="J42" s="283"/>
      <c r="K42" s="314"/>
      <c r="L42" s="315"/>
      <c r="M42" s="316"/>
      <c r="N42" s="316"/>
      <c r="O42" s="316"/>
      <c r="P42" s="316"/>
      <c r="Q42" s="316"/>
      <c r="R42" s="316"/>
      <c r="S42" s="316"/>
      <c r="T42" s="317"/>
      <c r="U42" s="317"/>
      <c r="V42" s="318"/>
      <c r="W42" s="319"/>
      <c r="X42" s="320"/>
      <c r="Y42" s="321"/>
      <c r="Z42" s="322"/>
      <c r="AA42" s="323"/>
      <c r="AB42" s="323"/>
      <c r="AC42" s="324"/>
      <c r="AD42" s="324"/>
      <c r="AE42" s="324"/>
      <c r="AF42" s="324"/>
      <c r="AG42" s="325"/>
      <c r="AH42" s="325"/>
      <c r="AI42" s="325"/>
      <c r="AJ42" s="326"/>
      <c r="AK42" s="332"/>
      <c r="AL42" s="328"/>
      <c r="AM42" s="322"/>
      <c r="AN42" s="323"/>
      <c r="AO42" s="323"/>
      <c r="AP42" s="324"/>
      <c r="AQ42" s="324"/>
      <c r="AR42" s="324"/>
      <c r="AS42" s="324"/>
      <c r="AT42" s="325"/>
      <c r="AU42" s="325"/>
      <c r="AV42" s="325"/>
      <c r="AW42" s="326"/>
      <c r="AX42" s="332"/>
      <c r="AY42" s="333"/>
    </row>
    <row r="43" spans="1:51" s="330" customFormat="1" ht="15" customHeight="1" x14ac:dyDescent="0.25">
      <c r="A43" s="306"/>
      <c r="B43" s="307" t="s">
        <v>59</v>
      </c>
      <c r="C43" s="307" t="s">
        <v>50</v>
      </c>
      <c r="D43" s="309" t="s">
        <v>67</v>
      </c>
      <c r="E43" s="309" t="s">
        <v>67</v>
      </c>
      <c r="F43" s="308" t="s">
        <v>65</v>
      </c>
      <c r="G43" s="310" t="s">
        <v>772</v>
      </c>
      <c r="H43" s="311"/>
      <c r="I43" s="312"/>
      <c r="J43" s="331" t="s">
        <v>767</v>
      </c>
      <c r="K43" s="314"/>
      <c r="L43" s="315"/>
      <c r="M43" s="316"/>
      <c r="N43" s="316"/>
      <c r="O43" s="316"/>
      <c r="P43" s="316"/>
      <c r="Q43" s="316"/>
      <c r="R43" s="316"/>
      <c r="S43" s="434"/>
      <c r="T43" s="317"/>
      <c r="U43" s="435"/>
      <c r="V43" s="318"/>
      <c r="W43" s="484">
        <f>SUM(W44:W49)</f>
        <v>2000000</v>
      </c>
      <c r="X43" s="320"/>
      <c r="Y43" s="321"/>
      <c r="Z43" s="322"/>
      <c r="AA43" s="323"/>
      <c r="AB43" s="323"/>
      <c r="AC43" s="324"/>
      <c r="AD43" s="324"/>
      <c r="AE43" s="324"/>
      <c r="AF43" s="324"/>
      <c r="AG43" s="325"/>
      <c r="AH43" s="325"/>
      <c r="AI43" s="325"/>
      <c r="AJ43" s="326"/>
      <c r="AK43" s="332"/>
      <c r="AL43" s="328"/>
      <c r="AM43" s="322"/>
      <c r="AN43" s="323"/>
      <c r="AO43" s="323"/>
      <c r="AP43" s="324"/>
      <c r="AQ43" s="324"/>
      <c r="AR43" s="324"/>
      <c r="AS43" s="324"/>
      <c r="AT43" s="325"/>
      <c r="AU43" s="325"/>
      <c r="AV43" s="325"/>
      <c r="AW43" s="326"/>
      <c r="AX43" s="332"/>
      <c r="AY43" s="333"/>
    </row>
    <row r="44" spans="1:51" s="330" customFormat="1" ht="15" customHeight="1" x14ac:dyDescent="0.25">
      <c r="A44" s="306"/>
      <c r="B44" s="307"/>
      <c r="C44" s="307"/>
      <c r="D44" s="309"/>
      <c r="E44" s="309"/>
      <c r="F44" s="308"/>
      <c r="G44" s="310"/>
      <c r="H44" s="311"/>
      <c r="I44" s="312"/>
      <c r="J44" s="283" t="s">
        <v>768</v>
      </c>
      <c r="K44" s="314"/>
      <c r="L44" s="315"/>
      <c r="M44" s="316"/>
      <c r="N44" s="316"/>
      <c r="O44" s="316"/>
      <c r="P44" s="316"/>
      <c r="Q44" s="316"/>
      <c r="R44" s="316"/>
      <c r="S44" s="434"/>
      <c r="T44" s="317"/>
      <c r="U44" s="435"/>
      <c r="V44" s="318"/>
      <c r="W44" s="319"/>
      <c r="X44" s="320"/>
      <c r="Y44" s="321"/>
      <c r="Z44" s="322"/>
      <c r="AA44" s="323"/>
      <c r="AB44" s="323"/>
      <c r="AC44" s="324"/>
      <c r="AD44" s="324"/>
      <c r="AE44" s="324"/>
      <c r="AF44" s="324"/>
      <c r="AG44" s="325"/>
      <c r="AH44" s="325"/>
      <c r="AI44" s="325"/>
      <c r="AJ44" s="326"/>
      <c r="AK44" s="332"/>
      <c r="AL44" s="328"/>
      <c r="AM44" s="322"/>
      <c r="AN44" s="323"/>
      <c r="AO44" s="323"/>
      <c r="AP44" s="324"/>
      <c r="AQ44" s="324"/>
      <c r="AR44" s="324"/>
      <c r="AS44" s="324"/>
      <c r="AT44" s="325"/>
      <c r="AU44" s="325"/>
      <c r="AV44" s="325"/>
      <c r="AW44" s="326"/>
      <c r="AX44" s="332"/>
      <c r="AY44" s="333"/>
    </row>
    <row r="45" spans="1:51" s="330" customFormat="1" ht="15" customHeight="1" x14ac:dyDescent="0.25">
      <c r="A45" s="306"/>
      <c r="B45" s="307"/>
      <c r="C45" s="307"/>
      <c r="D45" s="309"/>
      <c r="E45" s="309"/>
      <c r="F45" s="308"/>
      <c r="G45" s="310"/>
      <c r="H45" s="311"/>
      <c r="I45" s="312"/>
      <c r="J45" s="331" t="s">
        <v>769</v>
      </c>
      <c r="K45" s="314"/>
      <c r="L45" s="315"/>
      <c r="M45" s="316"/>
      <c r="N45" s="316"/>
      <c r="O45" s="316">
        <v>1</v>
      </c>
      <c r="P45" s="316" t="s">
        <v>656</v>
      </c>
      <c r="Q45" s="316" t="s">
        <v>658</v>
      </c>
      <c r="R45" s="316">
        <v>3</v>
      </c>
      <c r="S45" s="316" t="s">
        <v>747</v>
      </c>
      <c r="T45" s="317">
        <f>O45*R45</f>
        <v>3</v>
      </c>
      <c r="U45" s="317" t="s">
        <v>726</v>
      </c>
      <c r="V45" s="318">
        <v>200000</v>
      </c>
      <c r="W45" s="319">
        <f>T45*V45</f>
        <v>600000</v>
      </c>
      <c r="X45" s="320" t="s">
        <v>649</v>
      </c>
      <c r="Y45" s="321"/>
      <c r="Z45" s="322"/>
      <c r="AA45" s="323"/>
      <c r="AB45" s="323"/>
      <c r="AC45" s="324">
        <v>600000</v>
      </c>
      <c r="AD45" s="324"/>
      <c r="AE45" s="324"/>
      <c r="AF45" s="324"/>
      <c r="AG45" s="325"/>
      <c r="AH45" s="325"/>
      <c r="AI45" s="325"/>
      <c r="AJ45" s="326"/>
      <c r="AK45" s="332">
        <f t="shared" ref="AK45:AK46" si="1">SUM(Y45:AJ45)</f>
        <v>600000</v>
      </c>
      <c r="AL45" s="328"/>
      <c r="AM45" s="322"/>
      <c r="AN45" s="323"/>
      <c r="AO45" s="323"/>
      <c r="AP45" s="324"/>
      <c r="AQ45" s="324"/>
      <c r="AR45" s="324"/>
      <c r="AS45" s="324"/>
      <c r="AT45" s="325"/>
      <c r="AU45" s="325"/>
      <c r="AV45" s="325"/>
      <c r="AW45" s="326"/>
      <c r="AX45" s="332">
        <f t="shared" ref="AX45:AX46" si="2">SUM(AL45:AW45)</f>
        <v>0</v>
      </c>
      <c r="AY45" s="333">
        <f t="shared" ref="AY45:AY46" si="3">AK45-AX45</f>
        <v>600000</v>
      </c>
    </row>
    <row r="46" spans="1:51" s="330" customFormat="1" ht="15" customHeight="1" x14ac:dyDescent="0.25">
      <c r="A46" s="306"/>
      <c r="B46" s="307"/>
      <c r="C46" s="307"/>
      <c r="D46" s="309"/>
      <c r="E46" s="309"/>
      <c r="F46" s="308"/>
      <c r="G46" s="310"/>
      <c r="H46" s="311"/>
      <c r="I46" s="312"/>
      <c r="J46" s="331" t="s">
        <v>770</v>
      </c>
      <c r="K46" s="314"/>
      <c r="L46" s="315"/>
      <c r="M46" s="316"/>
      <c r="N46" s="316"/>
      <c r="O46" s="316">
        <v>1</v>
      </c>
      <c r="P46" s="316" t="s">
        <v>656</v>
      </c>
      <c r="Q46" s="316" t="s">
        <v>658</v>
      </c>
      <c r="R46" s="316">
        <v>3</v>
      </c>
      <c r="S46" s="316" t="s">
        <v>747</v>
      </c>
      <c r="T46" s="317">
        <f>O46*R46</f>
        <v>3</v>
      </c>
      <c r="U46" s="317" t="s">
        <v>726</v>
      </c>
      <c r="V46" s="318">
        <v>200000</v>
      </c>
      <c r="W46" s="319">
        <f>T46*V46</f>
        <v>600000</v>
      </c>
      <c r="X46" s="320" t="s">
        <v>649</v>
      </c>
      <c r="Y46" s="321"/>
      <c r="Z46" s="322"/>
      <c r="AA46" s="323"/>
      <c r="AB46" s="323"/>
      <c r="AC46" s="324">
        <v>600000</v>
      </c>
      <c r="AD46" s="324"/>
      <c r="AE46" s="324"/>
      <c r="AF46" s="324"/>
      <c r="AG46" s="325"/>
      <c r="AH46" s="325"/>
      <c r="AI46" s="325"/>
      <c r="AJ46" s="326"/>
      <c r="AK46" s="332">
        <f t="shared" si="1"/>
        <v>600000</v>
      </c>
      <c r="AL46" s="328"/>
      <c r="AM46" s="322"/>
      <c r="AN46" s="323"/>
      <c r="AO46" s="323"/>
      <c r="AP46" s="324"/>
      <c r="AQ46" s="324"/>
      <c r="AR46" s="324"/>
      <c r="AS46" s="324"/>
      <c r="AT46" s="325"/>
      <c r="AU46" s="325"/>
      <c r="AV46" s="325"/>
      <c r="AW46" s="326"/>
      <c r="AX46" s="332">
        <f t="shared" si="2"/>
        <v>0</v>
      </c>
      <c r="AY46" s="333">
        <f t="shared" si="3"/>
        <v>600000</v>
      </c>
    </row>
    <row r="47" spans="1:51" s="330" customFormat="1" ht="15" customHeight="1" x14ac:dyDescent="0.25">
      <c r="A47" s="306"/>
      <c r="B47" s="307"/>
      <c r="C47" s="307"/>
      <c r="D47" s="309"/>
      <c r="E47" s="309"/>
      <c r="F47" s="308"/>
      <c r="G47" s="310"/>
      <c r="H47" s="311"/>
      <c r="I47" s="312"/>
      <c r="J47" s="283" t="s">
        <v>771</v>
      </c>
      <c r="K47" s="314"/>
      <c r="L47" s="315"/>
      <c r="M47" s="316"/>
      <c r="N47" s="316"/>
      <c r="O47" s="316"/>
      <c r="P47" s="316"/>
      <c r="Q47" s="316"/>
      <c r="R47" s="316"/>
      <c r="S47" s="434"/>
      <c r="T47" s="317"/>
      <c r="U47" s="435"/>
      <c r="V47" s="318"/>
      <c r="W47" s="319"/>
      <c r="X47" s="320"/>
      <c r="Y47" s="321"/>
      <c r="Z47" s="322"/>
      <c r="AA47" s="323"/>
      <c r="AB47" s="323"/>
      <c r="AC47" s="324"/>
      <c r="AD47" s="324"/>
      <c r="AE47" s="324"/>
      <c r="AF47" s="324"/>
      <c r="AG47" s="325"/>
      <c r="AH47" s="325"/>
      <c r="AI47" s="325"/>
      <c r="AJ47" s="326"/>
      <c r="AK47" s="332"/>
      <c r="AL47" s="328"/>
      <c r="AM47" s="322"/>
      <c r="AN47" s="323"/>
      <c r="AO47" s="323"/>
      <c r="AP47" s="324"/>
      <c r="AQ47" s="324"/>
      <c r="AR47" s="324"/>
      <c r="AS47" s="324"/>
      <c r="AT47" s="325"/>
      <c r="AU47" s="325"/>
      <c r="AV47" s="325"/>
      <c r="AW47" s="326"/>
      <c r="AX47" s="332"/>
      <c r="AY47" s="333"/>
    </row>
    <row r="48" spans="1:51" s="330" customFormat="1" ht="15" customHeight="1" x14ac:dyDescent="0.25">
      <c r="A48" s="306"/>
      <c r="B48" s="307"/>
      <c r="C48" s="307"/>
      <c r="D48" s="309"/>
      <c r="E48" s="309"/>
      <c r="F48" s="308"/>
      <c r="G48" s="310"/>
      <c r="H48" s="311"/>
      <c r="I48" s="312"/>
      <c r="J48" s="331" t="s">
        <v>769</v>
      </c>
      <c r="K48" s="314"/>
      <c r="L48" s="315"/>
      <c r="M48" s="316"/>
      <c r="N48" s="316"/>
      <c r="O48" s="316">
        <v>1</v>
      </c>
      <c r="P48" s="316" t="s">
        <v>656</v>
      </c>
      <c r="Q48" s="316" t="s">
        <v>658</v>
      </c>
      <c r="R48" s="316">
        <v>2</v>
      </c>
      <c r="S48" s="316" t="s">
        <v>747</v>
      </c>
      <c r="T48" s="317">
        <f>O48*R48</f>
        <v>2</v>
      </c>
      <c r="U48" s="317" t="s">
        <v>726</v>
      </c>
      <c r="V48" s="318">
        <v>200000</v>
      </c>
      <c r="W48" s="319">
        <f>T48*V48</f>
        <v>400000</v>
      </c>
      <c r="X48" s="320" t="s">
        <v>649</v>
      </c>
      <c r="Y48" s="321"/>
      <c r="Z48" s="322"/>
      <c r="AA48" s="323"/>
      <c r="AB48" s="323"/>
      <c r="AC48" s="324"/>
      <c r="AD48" s="324"/>
      <c r="AE48" s="324"/>
      <c r="AF48" s="324"/>
      <c r="AG48" s="325"/>
      <c r="AH48" s="325">
        <v>400000</v>
      </c>
      <c r="AI48" s="325"/>
      <c r="AJ48" s="326"/>
      <c r="AK48" s="332">
        <f t="shared" ref="AK48:AK49" si="4">SUM(Y48:AJ48)</f>
        <v>400000</v>
      </c>
      <c r="AL48" s="328"/>
      <c r="AM48" s="322"/>
      <c r="AN48" s="323"/>
      <c r="AO48" s="323"/>
      <c r="AP48" s="324"/>
      <c r="AQ48" s="324"/>
      <c r="AR48" s="324"/>
      <c r="AS48" s="324"/>
      <c r="AT48" s="325"/>
      <c r="AU48" s="325"/>
      <c r="AV48" s="325"/>
      <c r="AW48" s="326"/>
      <c r="AX48" s="332">
        <f t="shared" ref="AX48:AX49" si="5">SUM(AL48:AW48)</f>
        <v>0</v>
      </c>
      <c r="AY48" s="333">
        <f t="shared" ref="AY48:AY49" si="6">AK48-AX48</f>
        <v>400000</v>
      </c>
    </row>
    <row r="49" spans="1:51" s="330" customFormat="1" ht="15" customHeight="1" x14ac:dyDescent="0.25">
      <c r="A49" s="306"/>
      <c r="B49" s="307"/>
      <c r="C49" s="307"/>
      <c r="D49" s="308"/>
      <c r="E49" s="308"/>
      <c r="F49" s="308"/>
      <c r="G49" s="307"/>
      <c r="H49" s="311"/>
      <c r="I49" s="312"/>
      <c r="J49" s="331" t="s">
        <v>770</v>
      </c>
      <c r="K49" s="314"/>
      <c r="L49" s="315"/>
      <c r="M49" s="316"/>
      <c r="N49" s="316"/>
      <c r="O49" s="316">
        <v>1</v>
      </c>
      <c r="P49" s="316" t="s">
        <v>656</v>
      </c>
      <c r="Q49" s="316" t="s">
        <v>658</v>
      </c>
      <c r="R49" s="316">
        <v>2</v>
      </c>
      <c r="S49" s="316" t="s">
        <v>747</v>
      </c>
      <c r="T49" s="317">
        <f>O49*R49</f>
        <v>2</v>
      </c>
      <c r="U49" s="317" t="s">
        <v>726</v>
      </c>
      <c r="V49" s="318">
        <v>200000</v>
      </c>
      <c r="W49" s="319">
        <f>T49*V49</f>
        <v>400000</v>
      </c>
      <c r="X49" s="320" t="s">
        <v>649</v>
      </c>
      <c r="Y49" s="321"/>
      <c r="Z49" s="322"/>
      <c r="AA49" s="323"/>
      <c r="AB49" s="323"/>
      <c r="AC49" s="324"/>
      <c r="AD49" s="324"/>
      <c r="AE49" s="324"/>
      <c r="AF49" s="324"/>
      <c r="AG49" s="325"/>
      <c r="AH49" s="325">
        <v>400000</v>
      </c>
      <c r="AI49" s="325"/>
      <c r="AJ49" s="326"/>
      <c r="AK49" s="332">
        <f t="shared" si="4"/>
        <v>400000</v>
      </c>
      <c r="AL49" s="328"/>
      <c r="AM49" s="322"/>
      <c r="AN49" s="323"/>
      <c r="AO49" s="323"/>
      <c r="AP49" s="324"/>
      <c r="AQ49" s="324"/>
      <c r="AR49" s="324"/>
      <c r="AS49" s="324"/>
      <c r="AT49" s="325"/>
      <c r="AU49" s="325"/>
      <c r="AV49" s="325"/>
      <c r="AW49" s="326"/>
      <c r="AX49" s="332">
        <f t="shared" si="5"/>
        <v>0</v>
      </c>
      <c r="AY49" s="333">
        <f t="shared" si="6"/>
        <v>400000</v>
      </c>
    </row>
    <row r="50" spans="1:51" s="330" customFormat="1" ht="15" customHeight="1" thickBot="1" x14ac:dyDescent="0.3">
      <c r="A50" s="440"/>
      <c r="B50" s="441"/>
      <c r="C50" s="441"/>
      <c r="D50" s="442"/>
      <c r="E50" s="442"/>
      <c r="F50" s="442"/>
      <c r="G50" s="441"/>
      <c r="H50" s="443"/>
      <c r="I50" s="312"/>
      <c r="J50" s="331"/>
      <c r="K50" s="314"/>
      <c r="L50" s="315"/>
      <c r="M50" s="316"/>
      <c r="N50" s="316"/>
      <c r="O50" s="316"/>
      <c r="P50" s="316"/>
      <c r="Q50" s="316"/>
      <c r="R50" s="316"/>
      <c r="S50" s="316"/>
      <c r="T50" s="317"/>
      <c r="U50" s="317"/>
      <c r="V50" s="318"/>
      <c r="W50" s="319"/>
      <c r="X50" s="320"/>
      <c r="Y50" s="444"/>
      <c r="Z50" s="445"/>
      <c r="AA50" s="446"/>
      <c r="AB50" s="446"/>
      <c r="AC50" s="447"/>
      <c r="AD50" s="447"/>
      <c r="AE50" s="447"/>
      <c r="AF50" s="447"/>
      <c r="AG50" s="448"/>
      <c r="AH50" s="448"/>
      <c r="AI50" s="448"/>
      <c r="AJ50" s="449"/>
      <c r="AK50" s="332"/>
      <c r="AL50" s="450"/>
      <c r="AM50" s="445"/>
      <c r="AN50" s="446"/>
      <c r="AO50" s="446"/>
      <c r="AP50" s="447"/>
      <c r="AQ50" s="447"/>
      <c r="AR50" s="447"/>
      <c r="AS50" s="447"/>
      <c r="AT50" s="448"/>
      <c r="AU50" s="448"/>
      <c r="AV50" s="448"/>
      <c r="AW50" s="449"/>
      <c r="AX50" s="332"/>
      <c r="AY50" s="333"/>
    </row>
    <row r="51" spans="1:51" s="379" customFormat="1" ht="20.25" customHeight="1" thickBot="1" x14ac:dyDescent="0.3">
      <c r="A51" s="365" t="s">
        <v>157</v>
      </c>
      <c r="B51" s="366"/>
      <c r="C51" s="367"/>
      <c r="D51" s="367"/>
      <c r="E51" s="367"/>
      <c r="F51" s="367"/>
      <c r="G51" s="367"/>
      <c r="H51" s="367"/>
      <c r="I51" s="367"/>
      <c r="J51" s="367"/>
      <c r="K51" s="367"/>
      <c r="L51" s="367"/>
      <c r="M51" s="367"/>
      <c r="N51" s="367"/>
      <c r="O51" s="367"/>
      <c r="P51" s="367"/>
      <c r="Q51" s="367"/>
      <c r="R51" s="367"/>
      <c r="S51" s="367"/>
      <c r="T51" s="367"/>
      <c r="U51" s="367"/>
      <c r="V51" s="368"/>
      <c r="W51" s="369">
        <f>W37</f>
        <v>2000000</v>
      </c>
      <c r="X51" s="370"/>
      <c r="Y51" s="371"/>
      <c r="Z51" s="372"/>
      <c r="AA51" s="372"/>
      <c r="AB51" s="372"/>
      <c r="AC51" s="373"/>
      <c r="AD51" s="373"/>
      <c r="AE51" s="373"/>
      <c r="AF51" s="373"/>
      <c r="AG51" s="374"/>
      <c r="AH51" s="374"/>
      <c r="AI51" s="374"/>
      <c r="AJ51" s="375"/>
      <c r="AK51" s="376">
        <f>SUM(AK36:AK50)</f>
        <v>2000000</v>
      </c>
      <c r="AL51" s="377"/>
      <c r="AM51" s="372"/>
      <c r="AN51" s="372"/>
      <c r="AO51" s="372"/>
      <c r="AP51" s="373"/>
      <c r="AQ51" s="373"/>
      <c r="AR51" s="373"/>
      <c r="AS51" s="373"/>
      <c r="AT51" s="374"/>
      <c r="AU51" s="374"/>
      <c r="AV51" s="374"/>
      <c r="AW51" s="375"/>
      <c r="AX51" s="376">
        <f>SUM(AX36:AX50)</f>
        <v>0</v>
      </c>
      <c r="AY51" s="378">
        <f>SUM(AY36:AY50)</f>
        <v>2000000</v>
      </c>
    </row>
    <row r="52" spans="1:51" s="268" customFormat="1" ht="15.75" x14ac:dyDescent="0.25">
      <c r="A52" s="219" t="s">
        <v>158</v>
      </c>
      <c r="B52" s="380"/>
      <c r="C52" s="380"/>
      <c r="D52" s="380"/>
      <c r="E52" s="380"/>
      <c r="F52" s="380"/>
      <c r="G52" s="380"/>
      <c r="H52" s="380"/>
      <c r="I52" s="380"/>
      <c r="J52" s="380"/>
      <c r="K52" s="381"/>
      <c r="L52" s="382"/>
      <c r="M52" s="380"/>
      <c r="N52" s="380"/>
      <c r="O52" s="380"/>
      <c r="P52" s="380"/>
      <c r="Q52" s="380"/>
      <c r="R52" s="380"/>
      <c r="S52" s="380"/>
      <c r="T52" s="383"/>
      <c r="U52" s="384"/>
      <c r="V52" s="384"/>
      <c r="W52" s="384"/>
      <c r="X52" s="385"/>
      <c r="Y52" s="386"/>
      <c r="Z52" s="387"/>
      <c r="AA52" s="387"/>
      <c r="AB52" s="387"/>
      <c r="AC52" s="387"/>
      <c r="AD52" s="387"/>
      <c r="AE52" s="387"/>
      <c r="AF52" s="387"/>
      <c r="AG52" s="387"/>
      <c r="AH52" s="387"/>
      <c r="AI52" s="387"/>
      <c r="AJ52" s="387"/>
    </row>
    <row r="53" spans="1:51" s="268" customFormat="1" ht="15.75" x14ac:dyDescent="0.25">
      <c r="A53" s="219" t="s">
        <v>159</v>
      </c>
      <c r="B53" s="220"/>
      <c r="C53" s="380"/>
      <c r="D53" s="660" t="s">
        <v>160</v>
      </c>
      <c r="E53" s="660"/>
      <c r="F53" s="660"/>
      <c r="G53" s="660"/>
      <c r="H53" s="660"/>
      <c r="I53" s="388"/>
      <c r="J53" s="388"/>
      <c r="K53" s="389"/>
      <c r="L53" s="390"/>
      <c r="M53" s="391"/>
      <c r="N53" s="391"/>
      <c r="O53" s="391"/>
      <c r="P53" s="391"/>
      <c r="Q53" s="391"/>
      <c r="R53" s="391"/>
      <c r="S53" s="391"/>
      <c r="T53" s="380"/>
      <c r="U53" s="388"/>
      <c r="V53" s="392" t="s">
        <v>841</v>
      </c>
      <c r="W53" s="393"/>
      <c r="X53" s="394"/>
      <c r="Y53" s="387"/>
      <c r="Z53" s="387"/>
      <c r="AA53" s="387" t="s">
        <v>161</v>
      </c>
      <c r="AB53" s="387"/>
      <c r="AC53" s="387"/>
      <c r="AD53" s="387"/>
      <c r="AE53" s="387"/>
      <c r="AF53" s="387"/>
      <c r="AG53" s="387"/>
      <c r="AH53" s="387"/>
      <c r="AI53" s="387"/>
      <c r="AJ53" s="387"/>
    </row>
    <row r="54" spans="1:51" s="268" customFormat="1" ht="12" customHeight="1" x14ac:dyDescent="0.25">
      <c r="A54" s="219" t="s">
        <v>162</v>
      </c>
      <c r="B54" s="220"/>
      <c r="C54" s="380"/>
      <c r="D54" s="660" t="s">
        <v>160</v>
      </c>
      <c r="E54" s="660"/>
      <c r="F54" s="660"/>
      <c r="G54" s="660"/>
      <c r="H54" s="660"/>
      <c r="I54" s="388"/>
      <c r="J54" s="388"/>
      <c r="K54" s="389"/>
      <c r="L54" s="390"/>
      <c r="M54" s="391"/>
      <c r="N54" s="391"/>
      <c r="O54" s="391"/>
      <c r="P54" s="391"/>
      <c r="Q54" s="391"/>
      <c r="R54" s="391"/>
      <c r="S54" s="391"/>
      <c r="T54" s="380"/>
      <c r="U54" s="384"/>
      <c r="V54" s="395" t="s">
        <v>26</v>
      </c>
      <c r="W54" s="393"/>
      <c r="X54" s="394"/>
      <c r="Y54" s="387"/>
      <c r="Z54" s="387"/>
      <c r="AA54" s="387"/>
      <c r="AB54" s="387"/>
      <c r="AC54" s="387"/>
      <c r="AD54" s="387"/>
      <c r="AE54" s="387"/>
      <c r="AF54" s="387"/>
      <c r="AG54" s="387"/>
      <c r="AH54" s="387"/>
      <c r="AI54" s="387"/>
      <c r="AJ54" s="387"/>
    </row>
    <row r="55" spans="1:51" s="268" customFormat="1" ht="15.75" x14ac:dyDescent="0.25">
      <c r="A55" s="219" t="s">
        <v>163</v>
      </c>
      <c r="B55" s="220"/>
      <c r="C55" s="380"/>
      <c r="D55" s="660" t="s">
        <v>160</v>
      </c>
      <c r="E55" s="660"/>
      <c r="F55" s="660"/>
      <c r="G55" s="660"/>
      <c r="H55" s="660"/>
      <c r="I55" s="388"/>
      <c r="J55" s="388"/>
      <c r="K55" s="389"/>
      <c r="L55" s="390"/>
      <c r="M55" s="391"/>
      <c r="N55" s="391"/>
      <c r="O55" s="391"/>
      <c r="P55" s="391"/>
      <c r="Q55" s="391"/>
      <c r="R55" s="391"/>
      <c r="S55" s="391"/>
      <c r="T55" s="380"/>
      <c r="U55" s="384"/>
      <c r="V55" s="395"/>
      <c r="W55" s="393"/>
      <c r="X55" s="394"/>
      <c r="Y55" s="387"/>
      <c r="Z55" s="387"/>
      <c r="AA55" s="387"/>
      <c r="AB55" s="387"/>
      <c r="AC55" s="387"/>
      <c r="AD55" s="387"/>
      <c r="AE55" s="387"/>
      <c r="AF55" s="387"/>
      <c r="AG55" s="387"/>
      <c r="AH55" s="387"/>
      <c r="AI55" s="387"/>
      <c r="AJ55" s="387"/>
    </row>
    <row r="56" spans="1:51" s="268" customFormat="1" ht="15.75" x14ac:dyDescent="0.25">
      <c r="A56" s="219"/>
      <c r="B56" s="220"/>
      <c r="C56" s="380"/>
      <c r="D56" s="659"/>
      <c r="E56" s="659"/>
      <c r="F56" s="659"/>
      <c r="G56" s="659"/>
      <c r="H56" s="659"/>
      <c r="I56" s="388"/>
      <c r="J56" s="388"/>
      <c r="K56" s="396"/>
      <c r="L56" s="390"/>
      <c r="M56" s="391"/>
      <c r="N56" s="391"/>
      <c r="O56" s="391"/>
      <c r="P56" s="391"/>
      <c r="Q56" s="391"/>
      <c r="R56" s="391"/>
      <c r="S56" s="391"/>
      <c r="T56" s="380"/>
      <c r="U56" s="393"/>
      <c r="V56" s="395"/>
      <c r="W56" s="393"/>
      <c r="X56" s="394"/>
      <c r="Y56" s="387"/>
      <c r="Z56" s="387"/>
      <c r="AA56" s="387"/>
      <c r="AB56" s="387"/>
      <c r="AC56" s="387"/>
      <c r="AD56" s="387"/>
      <c r="AE56" s="387"/>
      <c r="AF56" s="387"/>
      <c r="AG56" s="387"/>
      <c r="AH56" s="387"/>
      <c r="AI56" s="387"/>
      <c r="AJ56" s="387"/>
    </row>
    <row r="57" spans="1:51" s="268" customFormat="1" ht="15.75" x14ac:dyDescent="0.25">
      <c r="A57" s="219" t="s">
        <v>87</v>
      </c>
      <c r="B57" s="220"/>
      <c r="C57" s="380"/>
      <c r="D57" s="660" t="s">
        <v>160</v>
      </c>
      <c r="E57" s="660"/>
      <c r="F57" s="660"/>
      <c r="G57" s="660"/>
      <c r="H57" s="660"/>
      <c r="I57" s="388"/>
      <c r="J57" s="388"/>
      <c r="K57" s="396"/>
      <c r="L57" s="390"/>
      <c r="M57" s="391"/>
      <c r="N57" s="391"/>
      <c r="O57" s="391"/>
      <c r="P57" s="391"/>
      <c r="Q57" s="391"/>
      <c r="R57" s="391"/>
      <c r="S57" s="391"/>
      <c r="T57" s="380"/>
      <c r="U57" s="393"/>
      <c r="V57" s="397"/>
      <c r="W57" s="398"/>
      <c r="X57" s="394"/>
      <c r="Y57" s="387"/>
      <c r="Z57" s="387"/>
      <c r="AA57" s="387"/>
      <c r="AB57" s="387"/>
      <c r="AC57" s="387"/>
      <c r="AD57" s="387"/>
      <c r="AE57" s="387"/>
      <c r="AF57" s="387"/>
      <c r="AG57" s="387"/>
      <c r="AH57" s="387"/>
      <c r="AI57" s="387"/>
      <c r="AJ57" s="387"/>
    </row>
    <row r="58" spans="1:51" s="268" customFormat="1" ht="15.75" x14ac:dyDescent="0.25">
      <c r="A58" s="399"/>
      <c r="B58" s="380"/>
      <c r="C58" s="380"/>
      <c r="D58" s="380"/>
      <c r="E58" s="380"/>
      <c r="F58" s="380"/>
      <c r="G58" s="380"/>
      <c r="H58" s="380"/>
      <c r="I58" s="388"/>
      <c r="J58" s="388"/>
      <c r="K58" s="396"/>
      <c r="L58" s="390"/>
      <c r="M58" s="391"/>
      <c r="N58" s="391"/>
      <c r="O58" s="391"/>
      <c r="P58" s="391"/>
      <c r="Q58" s="391"/>
      <c r="R58" s="391"/>
      <c r="S58" s="391"/>
      <c r="T58" s="380"/>
      <c r="U58" s="223"/>
      <c r="V58" s="400" t="s">
        <v>28</v>
      </c>
      <c r="W58" s="401"/>
      <c r="X58" s="394"/>
      <c r="Y58" s="387"/>
      <c r="Z58" s="387"/>
      <c r="AA58" s="387"/>
      <c r="AB58" s="387"/>
      <c r="AC58" s="387"/>
      <c r="AD58" s="387"/>
      <c r="AE58" s="387"/>
      <c r="AF58" s="387"/>
      <c r="AG58" s="387"/>
      <c r="AH58" s="387"/>
      <c r="AI58" s="387"/>
      <c r="AJ58" s="387"/>
    </row>
    <row r="59" spans="1:51" s="268" customFormat="1" ht="15.75" x14ac:dyDescent="0.25">
      <c r="A59" s="399"/>
      <c r="B59" s="380"/>
      <c r="C59" s="380"/>
      <c r="D59" s="380"/>
      <c r="E59" s="380"/>
      <c r="F59" s="380"/>
      <c r="G59" s="380"/>
      <c r="H59" s="380"/>
      <c r="I59" s="393"/>
      <c r="J59" s="388"/>
      <c r="K59" s="389"/>
      <c r="L59" s="390"/>
      <c r="M59" s="391"/>
      <c r="N59" s="391"/>
      <c r="O59" s="391"/>
      <c r="P59" s="391"/>
      <c r="Q59" s="391"/>
      <c r="R59" s="391"/>
      <c r="S59" s="391"/>
      <c r="T59" s="380"/>
      <c r="U59" s="223"/>
      <c r="V59" s="402" t="s">
        <v>76</v>
      </c>
      <c r="W59" s="393"/>
      <c r="X59" s="394"/>
      <c r="Y59" s="387"/>
      <c r="Z59" s="387"/>
      <c r="AA59" s="387"/>
      <c r="AB59" s="387"/>
      <c r="AC59" s="387"/>
      <c r="AD59" s="387"/>
      <c r="AE59" s="387"/>
      <c r="AF59" s="387"/>
      <c r="AG59" s="387"/>
      <c r="AH59" s="387"/>
      <c r="AI59" s="387"/>
      <c r="AJ59" s="387"/>
    </row>
    <row r="60" spans="1:51" s="268" customFormat="1" ht="11.25" customHeight="1" thickBot="1" x14ac:dyDescent="0.3">
      <c r="A60" s="403"/>
      <c r="B60" s="404"/>
      <c r="C60" s="404"/>
      <c r="D60" s="404"/>
      <c r="E60" s="404"/>
      <c r="F60" s="404"/>
      <c r="G60" s="404"/>
      <c r="H60" s="404"/>
      <c r="I60" s="405"/>
      <c r="J60" s="405"/>
      <c r="K60" s="406"/>
      <c r="L60" s="407"/>
      <c r="M60" s="405"/>
      <c r="N60" s="405"/>
      <c r="O60" s="405"/>
      <c r="P60" s="405"/>
      <c r="Q60" s="405"/>
      <c r="R60" s="405"/>
      <c r="S60" s="405"/>
      <c r="T60" s="408"/>
      <c r="U60" s="409"/>
      <c r="V60" s="410"/>
      <c r="W60" s="410"/>
      <c r="X60" s="411"/>
      <c r="Y60" s="387"/>
      <c r="Z60" s="387"/>
      <c r="AA60" s="387"/>
      <c r="AB60" s="387"/>
      <c r="AC60" s="387"/>
      <c r="AD60" s="387"/>
      <c r="AE60" s="387"/>
      <c r="AF60" s="387"/>
      <c r="AG60" s="387"/>
      <c r="AH60" s="387"/>
      <c r="AI60" s="387"/>
      <c r="AJ60" s="387"/>
    </row>
    <row r="61" spans="1:51" s="199" customFormat="1" ht="15.75" x14ac:dyDescent="0.25">
      <c r="A61" s="412"/>
      <c r="B61" s="412"/>
      <c r="C61" s="412"/>
      <c r="D61" s="412"/>
      <c r="E61" s="412"/>
      <c r="F61" s="412"/>
      <c r="G61" s="412"/>
      <c r="H61" s="412"/>
      <c r="I61" s="413"/>
      <c r="J61" s="413"/>
      <c r="K61" s="413"/>
      <c r="L61" s="414"/>
      <c r="M61" s="412"/>
      <c r="N61" s="412"/>
      <c r="O61" s="412"/>
      <c r="P61" s="412"/>
      <c r="Q61" s="412"/>
      <c r="R61" s="412"/>
      <c r="S61" s="412"/>
      <c r="T61" s="412"/>
      <c r="U61" s="413"/>
      <c r="V61" s="413"/>
      <c r="W61" s="413"/>
      <c r="X61" s="413"/>
      <c r="Y61" s="198"/>
      <c r="Z61" s="198"/>
      <c r="AA61" s="198"/>
      <c r="AB61" s="198"/>
      <c r="AC61" s="198"/>
      <c r="AD61" s="198"/>
      <c r="AE61" s="198"/>
      <c r="AF61" s="198"/>
      <c r="AG61" s="198"/>
      <c r="AH61" s="198"/>
      <c r="AI61" s="198"/>
      <c r="AJ61" s="198"/>
    </row>
    <row r="62" spans="1:51" s="199" customFormat="1" ht="15.75" x14ac:dyDescent="0.25">
      <c r="A62" s="412"/>
      <c r="B62" s="412"/>
      <c r="C62" s="412"/>
      <c r="D62" s="412"/>
      <c r="E62" s="412"/>
      <c r="F62" s="412"/>
      <c r="G62" s="412"/>
      <c r="H62" s="412"/>
      <c r="I62" s="413"/>
      <c r="J62" s="413"/>
      <c r="K62" s="413"/>
      <c r="L62" s="414"/>
      <c r="M62" s="412"/>
      <c r="N62" s="412"/>
      <c r="O62" s="412"/>
      <c r="P62" s="412"/>
      <c r="Q62" s="412"/>
      <c r="R62" s="412"/>
      <c r="S62" s="412"/>
      <c r="T62" s="412"/>
      <c r="U62" s="413"/>
      <c r="V62" s="413"/>
      <c r="W62" s="413"/>
      <c r="X62" s="413"/>
      <c r="Y62" s="198"/>
      <c r="Z62" s="198"/>
      <c r="AA62" s="198"/>
      <c r="AB62" s="198"/>
      <c r="AC62" s="198"/>
      <c r="AD62" s="198"/>
      <c r="AE62" s="198"/>
      <c r="AF62" s="198"/>
      <c r="AG62" s="198"/>
      <c r="AH62" s="198"/>
      <c r="AI62" s="198"/>
      <c r="AJ62" s="198"/>
    </row>
    <row r="63" spans="1:51" s="199" customFormat="1" ht="15.75" x14ac:dyDescent="0.25">
      <c r="A63" s="412"/>
      <c r="B63" s="412"/>
      <c r="C63" s="412"/>
      <c r="D63" s="412"/>
      <c r="E63" s="412"/>
      <c r="F63" s="412"/>
      <c r="G63" s="412"/>
      <c r="H63" s="412"/>
      <c r="I63" s="413"/>
      <c r="J63" s="413"/>
      <c r="K63" s="413"/>
      <c r="L63" s="414"/>
      <c r="M63" s="412"/>
      <c r="N63" s="412"/>
      <c r="O63" s="412"/>
      <c r="P63" s="412"/>
      <c r="Q63" s="412"/>
      <c r="R63" s="412"/>
      <c r="S63" s="412"/>
      <c r="T63" s="412"/>
      <c r="U63" s="413"/>
      <c r="V63" s="413"/>
      <c r="W63" s="413"/>
      <c r="X63" s="413"/>
      <c r="Y63" s="198"/>
      <c r="Z63" s="198"/>
      <c r="AA63" s="198"/>
      <c r="AB63" s="198"/>
      <c r="AC63" s="198"/>
      <c r="AD63" s="198"/>
      <c r="AE63" s="198"/>
      <c r="AF63" s="198"/>
      <c r="AG63" s="198"/>
      <c r="AH63" s="198"/>
      <c r="AI63" s="198"/>
      <c r="AJ63" s="198"/>
    </row>
    <row r="64" spans="1:51" ht="15.75" x14ac:dyDescent="0.25">
      <c r="A64" s="412"/>
      <c r="B64" s="412"/>
      <c r="C64" s="412"/>
      <c r="D64" s="412"/>
      <c r="E64" s="412"/>
      <c r="F64" s="412"/>
      <c r="G64" s="412"/>
      <c r="H64" s="412"/>
      <c r="I64" s="413"/>
      <c r="J64" s="413"/>
      <c r="K64" s="413"/>
      <c r="L64" s="414"/>
      <c r="M64" s="412"/>
      <c r="N64" s="412"/>
      <c r="O64" s="412"/>
      <c r="P64" s="412"/>
      <c r="Q64" s="412"/>
      <c r="R64" s="412"/>
      <c r="S64" s="412"/>
      <c r="T64" s="412"/>
      <c r="U64" s="413"/>
      <c r="V64" s="413"/>
      <c r="W64" s="413"/>
      <c r="X64" s="413"/>
    </row>
  </sheetData>
  <mergeCells count="72">
    <mergeCell ref="D56:H56"/>
    <mergeCell ref="D57:H57"/>
    <mergeCell ref="A36:H36"/>
    <mergeCell ref="I36:K36"/>
    <mergeCell ref="L36:S36"/>
    <mergeCell ref="D53:H53"/>
    <mergeCell ref="D54:H54"/>
    <mergeCell ref="D55:H55"/>
    <mergeCell ref="AI34:AI35"/>
    <mergeCell ref="AW34:AW35"/>
    <mergeCell ref="AL34:AL35"/>
    <mergeCell ref="AM34:AM35"/>
    <mergeCell ref="AN34:AN35"/>
    <mergeCell ref="AO34:AO35"/>
    <mergeCell ref="AP34:AP35"/>
    <mergeCell ref="AQ34:AQ35"/>
    <mergeCell ref="AR34:AR35"/>
    <mergeCell ref="AS34:AS35"/>
    <mergeCell ref="AT34:AT35"/>
    <mergeCell ref="AU34:AU35"/>
    <mergeCell ref="AV34:AV35"/>
    <mergeCell ref="Y31:AJ33"/>
    <mergeCell ref="AK31:AK35"/>
    <mergeCell ref="AL31:AW33"/>
    <mergeCell ref="AX31:AX35"/>
    <mergeCell ref="AY31:AY35"/>
    <mergeCell ref="AJ34:AJ35"/>
    <mergeCell ref="Y34:Y35"/>
    <mergeCell ref="Z34:Z35"/>
    <mergeCell ref="AA34:AA35"/>
    <mergeCell ref="AB34:AB35"/>
    <mergeCell ref="AC34:AC35"/>
    <mergeCell ref="AD34:AD35"/>
    <mergeCell ref="AE34:AE35"/>
    <mergeCell ref="AF34:AF35"/>
    <mergeCell ref="AG34:AG35"/>
    <mergeCell ref="AH34:AH35"/>
    <mergeCell ref="A24:I24"/>
    <mergeCell ref="A28:I28"/>
    <mergeCell ref="A29:X29"/>
    <mergeCell ref="A30:X30"/>
    <mergeCell ref="A31:H35"/>
    <mergeCell ref="I31:K35"/>
    <mergeCell ref="L31:V32"/>
    <mergeCell ref="W31:W33"/>
    <mergeCell ref="X31:X35"/>
    <mergeCell ref="L33:S35"/>
    <mergeCell ref="T33:T35"/>
    <mergeCell ref="U33:U35"/>
    <mergeCell ref="V33:V35"/>
    <mergeCell ref="W34:W35"/>
    <mergeCell ref="V23:X23"/>
    <mergeCell ref="A14:I14"/>
    <mergeCell ref="J14:U14"/>
    <mergeCell ref="V14:X14"/>
    <mergeCell ref="A15:I15"/>
    <mergeCell ref="A16:I19"/>
    <mergeCell ref="V16:X16"/>
    <mergeCell ref="V17:X17"/>
    <mergeCell ref="V18:X18"/>
    <mergeCell ref="V19:X19"/>
    <mergeCell ref="A20:I20"/>
    <mergeCell ref="V20:X20"/>
    <mergeCell ref="V21:X21"/>
    <mergeCell ref="K22:U22"/>
    <mergeCell ref="V22:X22"/>
    <mergeCell ref="A13:X13"/>
    <mergeCell ref="V3:X3"/>
    <mergeCell ref="A5:X5"/>
    <mergeCell ref="A6:X6"/>
    <mergeCell ref="A7:I7"/>
    <mergeCell ref="A9:I9"/>
  </mergeCells>
  <pageMargins left="0.85" right="0" top="1" bottom="1.5" header="0.42" footer="0.31"/>
  <pageSetup paperSize="124" scale="34" fitToHeight="0" orientation="portrait" r:id="rId1"/>
  <headerFooter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D1FAC-CB11-45B0-AD0F-A7C082C6FA18}">
  <sheetPr>
    <tabColor rgb="FFFF0000"/>
  </sheetPr>
  <dimension ref="A1:E335"/>
  <sheetViews>
    <sheetView zoomScaleNormal="100" workbookViewId="0">
      <pane ySplit="4" topLeftCell="A297" activePane="bottomLeft" state="frozen"/>
      <selection pane="bottomLeft" activeCell="D151" sqref="D151"/>
    </sheetView>
  </sheetViews>
  <sheetFormatPr defaultColWidth="9.140625" defaultRowHeight="15" x14ac:dyDescent="0.25"/>
  <cols>
    <col min="1" max="1" width="7" style="417" bestFit="1" customWidth="1"/>
    <col min="2" max="2" width="21.5703125" style="417" customWidth="1"/>
    <col min="3" max="3" width="26.28515625" style="417" customWidth="1"/>
    <col min="4" max="4" width="52.28515625" style="417" customWidth="1"/>
    <col min="5" max="5" width="13.28515625" style="417" customWidth="1"/>
    <col min="6" max="16384" width="9.140625" style="417"/>
  </cols>
  <sheetData>
    <row r="1" spans="1:5" ht="23.25" x14ac:dyDescent="0.25">
      <c r="A1" s="677" t="s">
        <v>164</v>
      </c>
      <c r="B1" s="677"/>
      <c r="C1" s="677"/>
      <c r="D1" s="677"/>
    </row>
    <row r="4" spans="1:5" ht="18.75" x14ac:dyDescent="0.25">
      <c r="A4" s="418" t="s">
        <v>47</v>
      </c>
      <c r="B4" s="419" t="s">
        <v>115</v>
      </c>
      <c r="C4" s="419" t="s">
        <v>116</v>
      </c>
      <c r="D4" s="419" t="s">
        <v>131</v>
      </c>
      <c r="E4" s="419" t="s">
        <v>165</v>
      </c>
    </row>
    <row r="5" spans="1:5" x14ac:dyDescent="0.25">
      <c r="A5" s="420" t="s">
        <v>166</v>
      </c>
      <c r="B5" s="671" t="s">
        <v>167</v>
      </c>
      <c r="C5" s="674" t="s">
        <v>168</v>
      </c>
      <c r="D5" s="421" t="s">
        <v>169</v>
      </c>
      <c r="E5" s="421" t="s">
        <v>170</v>
      </c>
    </row>
    <row r="6" spans="1:5" x14ac:dyDescent="0.25">
      <c r="A6" s="422"/>
      <c r="B6" s="672"/>
      <c r="C6" s="675"/>
      <c r="D6" s="421" t="s">
        <v>171</v>
      </c>
      <c r="E6" s="421" t="s">
        <v>170</v>
      </c>
    </row>
    <row r="7" spans="1:5" x14ac:dyDescent="0.25">
      <c r="A7" s="422"/>
      <c r="B7" s="672"/>
      <c r="C7" s="675"/>
      <c r="D7" s="421" t="s">
        <v>172</v>
      </c>
      <c r="E7" s="421" t="s">
        <v>170</v>
      </c>
    </row>
    <row r="8" spans="1:5" ht="30" x14ac:dyDescent="0.25">
      <c r="A8" s="422"/>
      <c r="B8" s="672"/>
      <c r="C8" s="675"/>
      <c r="D8" s="421" t="s">
        <v>173</v>
      </c>
      <c r="E8" s="421" t="s">
        <v>170</v>
      </c>
    </row>
    <row r="9" spans="1:5" ht="30" x14ac:dyDescent="0.25">
      <c r="A9" s="422"/>
      <c r="B9" s="672"/>
      <c r="C9" s="675"/>
      <c r="D9" s="421" t="s">
        <v>174</v>
      </c>
      <c r="E9" s="421" t="s">
        <v>170</v>
      </c>
    </row>
    <row r="10" spans="1:5" ht="30" x14ac:dyDescent="0.25">
      <c r="A10" s="422"/>
      <c r="B10" s="672"/>
      <c r="C10" s="675"/>
      <c r="D10" s="421" t="s">
        <v>175</v>
      </c>
      <c r="E10" s="421" t="s">
        <v>170</v>
      </c>
    </row>
    <row r="11" spans="1:5" ht="30" x14ac:dyDescent="0.25">
      <c r="A11" s="422"/>
      <c r="B11" s="672"/>
      <c r="C11" s="675"/>
      <c r="D11" s="421" t="s">
        <v>176</v>
      </c>
      <c r="E11" s="421" t="s">
        <v>170</v>
      </c>
    </row>
    <row r="12" spans="1:5" ht="45" x14ac:dyDescent="0.25">
      <c r="A12" s="422"/>
      <c r="B12" s="672"/>
      <c r="C12" s="675"/>
      <c r="D12" s="421" t="s">
        <v>177</v>
      </c>
      <c r="E12" s="421" t="s">
        <v>170</v>
      </c>
    </row>
    <row r="13" spans="1:5" ht="45" x14ac:dyDescent="0.25">
      <c r="A13" s="422"/>
      <c r="B13" s="672"/>
      <c r="C13" s="675"/>
      <c r="D13" s="421" t="s">
        <v>178</v>
      </c>
      <c r="E13" s="421" t="s">
        <v>170</v>
      </c>
    </row>
    <row r="14" spans="1:5" ht="30" x14ac:dyDescent="0.25">
      <c r="A14" s="422"/>
      <c r="B14" s="672"/>
      <c r="C14" s="675"/>
      <c r="D14" s="421" t="s">
        <v>179</v>
      </c>
      <c r="E14" s="421" t="s">
        <v>170</v>
      </c>
    </row>
    <row r="15" spans="1:5" ht="45" x14ac:dyDescent="0.25">
      <c r="A15" s="422"/>
      <c r="B15" s="672"/>
      <c r="C15" s="675"/>
      <c r="D15" s="421" t="s">
        <v>180</v>
      </c>
      <c r="E15" s="421" t="s">
        <v>170</v>
      </c>
    </row>
    <row r="16" spans="1:5" ht="30" x14ac:dyDescent="0.25">
      <c r="A16" s="422"/>
      <c r="B16" s="672"/>
      <c r="C16" s="675"/>
      <c r="D16" s="421" t="s">
        <v>181</v>
      </c>
      <c r="E16" s="421" t="s">
        <v>170</v>
      </c>
    </row>
    <row r="17" spans="1:5" x14ac:dyDescent="0.25">
      <c r="A17" s="422"/>
      <c r="B17" s="672"/>
      <c r="C17" s="675"/>
      <c r="D17" s="421" t="s">
        <v>182</v>
      </c>
      <c r="E17" s="421" t="s">
        <v>170</v>
      </c>
    </row>
    <row r="18" spans="1:5" ht="45" x14ac:dyDescent="0.25">
      <c r="A18" s="422"/>
      <c r="B18" s="672"/>
      <c r="C18" s="675"/>
      <c r="D18" s="421" t="s">
        <v>183</v>
      </c>
      <c r="E18" s="421" t="s">
        <v>170</v>
      </c>
    </row>
    <row r="19" spans="1:5" x14ac:dyDescent="0.25">
      <c r="A19" s="422"/>
      <c r="B19" s="672"/>
      <c r="C19" s="675"/>
      <c r="D19" s="421" t="s">
        <v>184</v>
      </c>
      <c r="E19" s="421" t="s">
        <v>170</v>
      </c>
    </row>
    <row r="20" spans="1:5" x14ac:dyDescent="0.25">
      <c r="A20" s="422"/>
      <c r="B20" s="672"/>
      <c r="C20" s="675"/>
      <c r="D20" s="421" t="s">
        <v>185</v>
      </c>
      <c r="E20" s="421" t="s">
        <v>170</v>
      </c>
    </row>
    <row r="21" spans="1:5" x14ac:dyDescent="0.25">
      <c r="A21" s="422"/>
      <c r="B21" s="672"/>
      <c r="C21" s="675"/>
      <c r="D21" s="421" t="s">
        <v>186</v>
      </c>
      <c r="E21" s="421" t="s">
        <v>170</v>
      </c>
    </row>
    <row r="22" spans="1:5" x14ac:dyDescent="0.25">
      <c r="A22" s="422"/>
      <c r="B22" s="672"/>
      <c r="C22" s="675"/>
      <c r="D22" s="421" t="s">
        <v>187</v>
      </c>
      <c r="E22" s="421" t="s">
        <v>170</v>
      </c>
    </row>
    <row r="23" spans="1:5" x14ac:dyDescent="0.25">
      <c r="A23" s="422"/>
      <c r="B23" s="672"/>
      <c r="C23" s="675"/>
      <c r="D23" s="421" t="s">
        <v>188</v>
      </c>
      <c r="E23" s="421" t="s">
        <v>170</v>
      </c>
    </row>
    <row r="24" spans="1:5" x14ac:dyDescent="0.25">
      <c r="A24" s="422"/>
      <c r="B24" s="672"/>
      <c r="C24" s="675"/>
      <c r="D24" s="421" t="s">
        <v>189</v>
      </c>
      <c r="E24" s="421" t="s">
        <v>170</v>
      </c>
    </row>
    <row r="25" spans="1:5" x14ac:dyDescent="0.25">
      <c r="A25" s="422"/>
      <c r="B25" s="672"/>
      <c r="C25" s="675"/>
      <c r="D25" s="421" t="s">
        <v>190</v>
      </c>
      <c r="E25" s="421" t="s">
        <v>170</v>
      </c>
    </row>
    <row r="26" spans="1:5" ht="30" x14ac:dyDescent="0.25">
      <c r="A26" s="423"/>
      <c r="B26" s="673"/>
      <c r="C26" s="676"/>
      <c r="D26" s="421" t="s">
        <v>191</v>
      </c>
      <c r="E26" s="421" t="s">
        <v>170</v>
      </c>
    </row>
    <row r="27" spans="1:5" ht="45" x14ac:dyDescent="0.25">
      <c r="A27" s="422" t="s">
        <v>192</v>
      </c>
      <c r="B27" s="674" t="s">
        <v>193</v>
      </c>
      <c r="C27" s="421" t="s">
        <v>194</v>
      </c>
      <c r="D27" s="421" t="s">
        <v>195</v>
      </c>
      <c r="E27" s="421" t="s">
        <v>196</v>
      </c>
    </row>
    <row r="28" spans="1:5" ht="30" x14ac:dyDescent="0.25">
      <c r="A28" s="420" t="s">
        <v>197</v>
      </c>
      <c r="B28" s="672"/>
      <c r="C28" s="674" t="s">
        <v>168</v>
      </c>
      <c r="D28" s="421" t="s">
        <v>198</v>
      </c>
      <c r="E28" s="421" t="s">
        <v>199</v>
      </c>
    </row>
    <row r="29" spans="1:5" x14ac:dyDescent="0.25">
      <c r="A29" s="422"/>
      <c r="B29" s="672"/>
      <c r="C29" s="675"/>
      <c r="D29" s="421" t="s">
        <v>200</v>
      </c>
      <c r="E29" s="421" t="s">
        <v>199</v>
      </c>
    </row>
    <row r="30" spans="1:5" x14ac:dyDescent="0.25">
      <c r="A30" s="422"/>
      <c r="B30" s="672"/>
      <c r="C30" s="675"/>
      <c r="D30" s="421" t="s">
        <v>201</v>
      </c>
      <c r="E30" s="421" t="s">
        <v>199</v>
      </c>
    </row>
    <row r="31" spans="1:5" x14ac:dyDescent="0.25">
      <c r="A31" s="422"/>
      <c r="B31" s="672"/>
      <c r="C31" s="675"/>
      <c r="D31" s="421" t="s">
        <v>202</v>
      </c>
      <c r="E31" s="421" t="s">
        <v>199</v>
      </c>
    </row>
    <row r="32" spans="1:5" x14ac:dyDescent="0.25">
      <c r="A32" s="422"/>
      <c r="B32" s="672"/>
      <c r="C32" s="675"/>
      <c r="D32" s="421" t="s">
        <v>203</v>
      </c>
      <c r="E32" s="421" t="s">
        <v>199</v>
      </c>
    </row>
    <row r="33" spans="1:5" x14ac:dyDescent="0.25">
      <c r="A33" s="422"/>
      <c r="B33" s="672"/>
      <c r="C33" s="675"/>
      <c r="D33" s="421" t="s">
        <v>204</v>
      </c>
      <c r="E33" s="421" t="s">
        <v>199</v>
      </c>
    </row>
    <row r="34" spans="1:5" x14ac:dyDescent="0.25">
      <c r="A34" s="422"/>
      <c r="B34" s="672"/>
      <c r="C34" s="675"/>
      <c r="D34" s="421" t="s">
        <v>205</v>
      </c>
      <c r="E34" s="421" t="s">
        <v>199</v>
      </c>
    </row>
    <row r="35" spans="1:5" x14ac:dyDescent="0.25">
      <c r="A35" s="422"/>
      <c r="B35" s="672"/>
      <c r="C35" s="675"/>
      <c r="D35" s="421" t="s">
        <v>206</v>
      </c>
      <c r="E35" s="421" t="s">
        <v>199</v>
      </c>
    </row>
    <row r="36" spans="1:5" ht="30" x14ac:dyDescent="0.25">
      <c r="A36" s="422"/>
      <c r="B36" s="672"/>
      <c r="C36" s="675"/>
      <c r="D36" s="421" t="s">
        <v>207</v>
      </c>
      <c r="E36" s="421" t="s">
        <v>199</v>
      </c>
    </row>
    <row r="37" spans="1:5" ht="30" x14ac:dyDescent="0.25">
      <c r="A37" s="422"/>
      <c r="B37" s="672"/>
      <c r="C37" s="675"/>
      <c r="D37" s="421" t="s">
        <v>208</v>
      </c>
      <c r="E37" s="421" t="s">
        <v>199</v>
      </c>
    </row>
    <row r="38" spans="1:5" x14ac:dyDescent="0.25">
      <c r="A38" s="422"/>
      <c r="B38" s="672"/>
      <c r="C38" s="675"/>
      <c r="D38" s="421" t="s">
        <v>209</v>
      </c>
      <c r="E38" s="421" t="s">
        <v>199</v>
      </c>
    </row>
    <row r="39" spans="1:5" x14ac:dyDescent="0.25">
      <c r="A39" s="422"/>
      <c r="B39" s="672"/>
      <c r="C39" s="676"/>
      <c r="D39" s="421" t="s">
        <v>210</v>
      </c>
      <c r="E39" s="421" t="s">
        <v>199</v>
      </c>
    </row>
    <row r="40" spans="1:5" ht="30" x14ac:dyDescent="0.25">
      <c r="A40" s="420" t="s">
        <v>211</v>
      </c>
      <c r="B40" s="672"/>
      <c r="C40" s="674" t="s">
        <v>212</v>
      </c>
      <c r="D40" s="421" t="s">
        <v>213</v>
      </c>
      <c r="E40" s="421" t="s">
        <v>214</v>
      </c>
    </row>
    <row r="41" spans="1:5" ht="45" x14ac:dyDescent="0.25">
      <c r="A41" s="422"/>
      <c r="B41" s="672"/>
      <c r="C41" s="675"/>
      <c r="D41" s="421" t="s">
        <v>215</v>
      </c>
      <c r="E41" s="421" t="s">
        <v>214</v>
      </c>
    </row>
    <row r="42" spans="1:5" ht="45" x14ac:dyDescent="0.25">
      <c r="A42" s="422"/>
      <c r="B42" s="673"/>
      <c r="C42" s="676"/>
      <c r="D42" s="421" t="s">
        <v>216</v>
      </c>
      <c r="E42" s="421" t="s">
        <v>214</v>
      </c>
    </row>
    <row r="43" spans="1:5" x14ac:dyDescent="0.25">
      <c r="A43" s="420" t="s">
        <v>217</v>
      </c>
      <c r="B43" s="671" t="s">
        <v>218</v>
      </c>
      <c r="C43" s="674" t="s">
        <v>219</v>
      </c>
      <c r="D43" s="421" t="s">
        <v>220</v>
      </c>
      <c r="E43" s="421" t="s">
        <v>199</v>
      </c>
    </row>
    <row r="44" spans="1:5" x14ac:dyDescent="0.25">
      <c r="A44" s="422"/>
      <c r="B44" s="672"/>
      <c r="C44" s="675"/>
      <c r="D44" s="421" t="s">
        <v>221</v>
      </c>
      <c r="E44" s="421" t="s">
        <v>170</v>
      </c>
    </row>
    <row r="45" spans="1:5" x14ac:dyDescent="0.25">
      <c r="A45" s="422"/>
      <c r="B45" s="672"/>
      <c r="C45" s="676"/>
      <c r="D45" s="421" t="s">
        <v>222</v>
      </c>
      <c r="E45" s="421" t="s">
        <v>170</v>
      </c>
    </row>
    <row r="46" spans="1:5" x14ac:dyDescent="0.25">
      <c r="A46" s="420" t="s">
        <v>223</v>
      </c>
      <c r="B46" s="672"/>
      <c r="C46" s="674" t="s">
        <v>224</v>
      </c>
      <c r="D46" s="421" t="s">
        <v>225</v>
      </c>
      <c r="E46" s="421" t="s">
        <v>226</v>
      </c>
    </row>
    <row r="47" spans="1:5" x14ac:dyDescent="0.25">
      <c r="A47" s="422"/>
      <c r="B47" s="672"/>
      <c r="C47" s="675"/>
      <c r="D47" s="421" t="s">
        <v>227</v>
      </c>
      <c r="E47" s="421" t="s">
        <v>226</v>
      </c>
    </row>
    <row r="48" spans="1:5" x14ac:dyDescent="0.25">
      <c r="A48" s="422"/>
      <c r="B48" s="672"/>
      <c r="C48" s="675"/>
      <c r="D48" s="421" t="s">
        <v>228</v>
      </c>
      <c r="E48" s="421" t="s">
        <v>229</v>
      </c>
    </row>
    <row r="49" spans="1:5" x14ac:dyDescent="0.25">
      <c r="A49" s="422"/>
      <c r="B49" s="672"/>
      <c r="C49" s="675"/>
      <c r="D49" s="421" t="s">
        <v>230</v>
      </c>
      <c r="E49" s="421" t="s">
        <v>231</v>
      </c>
    </row>
    <row r="50" spans="1:5" x14ac:dyDescent="0.25">
      <c r="A50" s="422"/>
      <c r="B50" s="672"/>
      <c r="C50" s="675"/>
      <c r="D50" s="421" t="s">
        <v>232</v>
      </c>
      <c r="E50" s="421" t="s">
        <v>233</v>
      </c>
    </row>
    <row r="51" spans="1:5" x14ac:dyDescent="0.25">
      <c r="A51" s="423"/>
      <c r="B51" s="672"/>
      <c r="C51" s="676"/>
      <c r="D51" s="421" t="s">
        <v>234</v>
      </c>
      <c r="E51" s="421" t="s">
        <v>231</v>
      </c>
    </row>
    <row r="52" spans="1:5" x14ac:dyDescent="0.25">
      <c r="A52" s="422" t="s">
        <v>235</v>
      </c>
      <c r="B52" s="672"/>
      <c r="C52" s="674" t="s">
        <v>236</v>
      </c>
      <c r="D52" s="421" t="s">
        <v>237</v>
      </c>
      <c r="E52" s="421" t="s">
        <v>214</v>
      </c>
    </row>
    <row r="53" spans="1:5" x14ac:dyDescent="0.25">
      <c r="A53" s="422"/>
      <c r="B53" s="672"/>
      <c r="C53" s="675"/>
      <c r="D53" s="421" t="s">
        <v>238</v>
      </c>
      <c r="E53" s="421" t="s">
        <v>214</v>
      </c>
    </row>
    <row r="54" spans="1:5" x14ac:dyDescent="0.25">
      <c r="A54" s="422"/>
      <c r="B54" s="672"/>
      <c r="C54" s="675"/>
      <c r="D54" s="421" t="s">
        <v>239</v>
      </c>
      <c r="E54" s="421" t="s">
        <v>214</v>
      </c>
    </row>
    <row r="55" spans="1:5" ht="30" x14ac:dyDescent="0.25">
      <c r="A55" s="422"/>
      <c r="B55" s="672"/>
      <c r="C55" s="675"/>
      <c r="D55" s="421" t="s">
        <v>240</v>
      </c>
      <c r="E55" s="421" t="s">
        <v>233</v>
      </c>
    </row>
    <row r="56" spans="1:5" x14ac:dyDescent="0.25">
      <c r="A56" s="422"/>
      <c r="B56" s="672"/>
      <c r="C56" s="675"/>
      <c r="D56" s="421" t="s">
        <v>241</v>
      </c>
      <c r="E56" s="421" t="s">
        <v>242</v>
      </c>
    </row>
    <row r="57" spans="1:5" x14ac:dyDescent="0.25">
      <c r="A57" s="422"/>
      <c r="B57" s="672"/>
      <c r="C57" s="675"/>
      <c r="D57" s="421" t="s">
        <v>243</v>
      </c>
      <c r="E57" s="421" t="s">
        <v>242</v>
      </c>
    </row>
    <row r="58" spans="1:5" x14ac:dyDescent="0.25">
      <c r="A58" s="422"/>
      <c r="B58" s="672"/>
      <c r="C58" s="675"/>
      <c r="D58" s="421" t="s">
        <v>244</v>
      </c>
      <c r="E58" s="421" t="s">
        <v>242</v>
      </c>
    </row>
    <row r="59" spans="1:5" x14ac:dyDescent="0.25">
      <c r="A59" s="422"/>
      <c r="B59" s="672"/>
      <c r="C59" s="675"/>
      <c r="D59" s="421" t="s">
        <v>245</v>
      </c>
      <c r="E59" s="421" t="s">
        <v>242</v>
      </c>
    </row>
    <row r="60" spans="1:5" x14ac:dyDescent="0.25">
      <c r="A60" s="422"/>
      <c r="B60" s="672"/>
      <c r="C60" s="675"/>
      <c r="D60" s="421" t="s">
        <v>246</v>
      </c>
      <c r="E60" s="421" t="s">
        <v>242</v>
      </c>
    </row>
    <row r="61" spans="1:5" x14ac:dyDescent="0.25">
      <c r="A61" s="422"/>
      <c r="B61" s="672"/>
      <c r="C61" s="675"/>
      <c r="D61" s="421" t="s">
        <v>247</v>
      </c>
      <c r="E61" s="421" t="s">
        <v>214</v>
      </c>
    </row>
    <row r="62" spans="1:5" x14ac:dyDescent="0.25">
      <c r="A62" s="422"/>
      <c r="B62" s="672"/>
      <c r="C62" s="675"/>
      <c r="D62" s="421" t="s">
        <v>248</v>
      </c>
      <c r="E62" s="421" t="s">
        <v>214</v>
      </c>
    </row>
    <row r="63" spans="1:5" x14ac:dyDescent="0.25">
      <c r="A63" s="422"/>
      <c r="B63" s="672"/>
      <c r="C63" s="675"/>
      <c r="D63" s="421" t="s">
        <v>249</v>
      </c>
      <c r="E63" s="421" t="s">
        <v>226</v>
      </c>
    </row>
    <row r="64" spans="1:5" x14ac:dyDescent="0.25">
      <c r="A64" s="422"/>
      <c r="B64" s="672"/>
      <c r="C64" s="675"/>
      <c r="D64" s="421" t="s">
        <v>250</v>
      </c>
      <c r="E64" s="421" t="s">
        <v>214</v>
      </c>
    </row>
    <row r="65" spans="1:5" x14ac:dyDescent="0.25">
      <c r="A65" s="422"/>
      <c r="B65" s="672"/>
      <c r="C65" s="675"/>
      <c r="D65" s="421" t="s">
        <v>209</v>
      </c>
      <c r="E65" s="421" t="s">
        <v>199</v>
      </c>
    </row>
    <row r="66" spans="1:5" x14ac:dyDescent="0.25">
      <c r="A66" s="422"/>
      <c r="B66" s="672"/>
      <c r="C66" s="675"/>
      <c r="D66" s="421" t="s">
        <v>251</v>
      </c>
      <c r="E66" s="421" t="s">
        <v>214</v>
      </c>
    </row>
    <row r="67" spans="1:5" x14ac:dyDescent="0.25">
      <c r="A67" s="422"/>
      <c r="B67" s="672"/>
      <c r="C67" s="675"/>
      <c r="D67" s="421" t="s">
        <v>252</v>
      </c>
      <c r="E67" s="421" t="s">
        <v>214</v>
      </c>
    </row>
    <row r="68" spans="1:5" x14ac:dyDescent="0.25">
      <c r="A68" s="422"/>
      <c r="B68" s="672"/>
      <c r="C68" s="675"/>
      <c r="D68" s="421" t="s">
        <v>253</v>
      </c>
      <c r="E68" s="421" t="s">
        <v>214</v>
      </c>
    </row>
    <row r="69" spans="1:5" x14ac:dyDescent="0.25">
      <c r="A69" s="422"/>
      <c r="B69" s="672"/>
      <c r="C69" s="675"/>
      <c r="D69" s="421" t="s">
        <v>254</v>
      </c>
      <c r="E69" s="421" t="s">
        <v>214</v>
      </c>
    </row>
    <row r="70" spans="1:5" x14ac:dyDescent="0.25">
      <c r="A70" s="422"/>
      <c r="B70" s="672"/>
      <c r="C70" s="675"/>
      <c r="D70" s="421" t="s">
        <v>255</v>
      </c>
      <c r="E70" s="421" t="s">
        <v>214</v>
      </c>
    </row>
    <row r="71" spans="1:5" x14ac:dyDescent="0.25">
      <c r="A71" s="422"/>
      <c r="B71" s="672"/>
      <c r="C71" s="675"/>
      <c r="D71" s="421" t="s">
        <v>256</v>
      </c>
      <c r="E71" s="421" t="s">
        <v>214</v>
      </c>
    </row>
    <row r="72" spans="1:5" x14ac:dyDescent="0.25">
      <c r="A72" s="422"/>
      <c r="B72" s="672"/>
      <c r="C72" s="675"/>
      <c r="D72" s="421" t="s">
        <v>257</v>
      </c>
      <c r="E72" s="421" t="s">
        <v>214</v>
      </c>
    </row>
    <row r="73" spans="1:5" ht="30" x14ac:dyDescent="0.25">
      <c r="A73" s="422"/>
      <c r="B73" s="672"/>
      <c r="C73" s="675"/>
      <c r="D73" s="421" t="s">
        <v>258</v>
      </c>
      <c r="E73" s="421" t="s">
        <v>214</v>
      </c>
    </row>
    <row r="74" spans="1:5" x14ac:dyDescent="0.25">
      <c r="A74" s="422"/>
      <c r="B74" s="672"/>
      <c r="C74" s="675"/>
      <c r="D74" s="421" t="s">
        <v>259</v>
      </c>
      <c r="E74" s="421" t="s">
        <v>214</v>
      </c>
    </row>
    <row r="75" spans="1:5" x14ac:dyDescent="0.25">
      <c r="A75" s="422"/>
      <c r="B75" s="672"/>
      <c r="C75" s="675"/>
      <c r="D75" s="421" t="s">
        <v>260</v>
      </c>
      <c r="E75" s="421" t="s">
        <v>214</v>
      </c>
    </row>
    <row r="76" spans="1:5" x14ac:dyDescent="0.25">
      <c r="A76" s="422"/>
      <c r="B76" s="672"/>
      <c r="C76" s="675"/>
      <c r="D76" s="421" t="s">
        <v>261</v>
      </c>
      <c r="E76" s="421" t="s">
        <v>214</v>
      </c>
    </row>
    <row r="77" spans="1:5" x14ac:dyDescent="0.25">
      <c r="A77" s="422"/>
      <c r="B77" s="672"/>
      <c r="C77" s="675"/>
      <c r="D77" s="421" t="s">
        <v>262</v>
      </c>
      <c r="E77" s="421" t="s">
        <v>214</v>
      </c>
    </row>
    <row r="78" spans="1:5" x14ac:dyDescent="0.25">
      <c r="A78" s="422"/>
      <c r="B78" s="672"/>
      <c r="C78" s="675"/>
      <c r="D78" s="421" t="s">
        <v>263</v>
      </c>
      <c r="E78" s="421" t="s">
        <v>242</v>
      </c>
    </row>
    <row r="79" spans="1:5" x14ac:dyDescent="0.25">
      <c r="A79" s="422"/>
      <c r="B79" s="672"/>
      <c r="C79" s="675"/>
      <c r="D79" s="421" t="s">
        <v>264</v>
      </c>
      <c r="E79" s="421" t="s">
        <v>233</v>
      </c>
    </row>
    <row r="80" spans="1:5" x14ac:dyDescent="0.25">
      <c r="A80" s="422"/>
      <c r="B80" s="672"/>
      <c r="C80" s="675"/>
      <c r="D80" s="421" t="s">
        <v>265</v>
      </c>
      <c r="E80" s="421" t="s">
        <v>233</v>
      </c>
    </row>
    <row r="81" spans="1:5" x14ac:dyDescent="0.25">
      <c r="A81" s="422"/>
      <c r="B81" s="672"/>
      <c r="C81" s="675"/>
      <c r="D81" s="421" t="s">
        <v>266</v>
      </c>
      <c r="E81" s="421" t="s">
        <v>214</v>
      </c>
    </row>
    <row r="82" spans="1:5" ht="30" x14ac:dyDescent="0.25">
      <c r="A82" s="422"/>
      <c r="B82" s="672"/>
      <c r="C82" s="675"/>
      <c r="D82" s="421" t="s">
        <v>267</v>
      </c>
      <c r="E82" s="421" t="s">
        <v>214</v>
      </c>
    </row>
    <row r="83" spans="1:5" ht="30" x14ac:dyDescent="0.25">
      <c r="A83" s="422"/>
      <c r="B83" s="672"/>
      <c r="C83" s="675"/>
      <c r="D83" s="421" t="s">
        <v>268</v>
      </c>
      <c r="E83" s="421" t="s">
        <v>214</v>
      </c>
    </row>
    <row r="84" spans="1:5" x14ac:dyDescent="0.25">
      <c r="A84" s="422"/>
      <c r="B84" s="672"/>
      <c r="C84" s="675"/>
      <c r="D84" s="421" t="s">
        <v>269</v>
      </c>
      <c r="E84" s="421" t="s">
        <v>214</v>
      </c>
    </row>
    <row r="85" spans="1:5" x14ac:dyDescent="0.25">
      <c r="A85" s="422"/>
      <c r="B85" s="672"/>
      <c r="C85" s="675"/>
      <c r="D85" s="421" t="s">
        <v>270</v>
      </c>
      <c r="E85" s="421" t="s">
        <v>233</v>
      </c>
    </row>
    <row r="86" spans="1:5" x14ac:dyDescent="0.25">
      <c r="A86" s="422"/>
      <c r="B86" s="672"/>
      <c r="C86" s="675"/>
      <c r="D86" s="421" t="s">
        <v>271</v>
      </c>
      <c r="E86" s="421" t="s">
        <v>229</v>
      </c>
    </row>
    <row r="87" spans="1:5" x14ac:dyDescent="0.25">
      <c r="A87" s="422"/>
      <c r="B87" s="672"/>
      <c r="C87" s="675"/>
      <c r="D87" s="421" t="s">
        <v>272</v>
      </c>
      <c r="E87" s="421" t="s">
        <v>229</v>
      </c>
    </row>
    <row r="88" spans="1:5" x14ac:dyDescent="0.25">
      <c r="A88" s="422"/>
      <c r="B88" s="672"/>
      <c r="C88" s="675"/>
      <c r="D88" s="421" t="s">
        <v>665</v>
      </c>
      <c r="E88" s="421"/>
    </row>
    <row r="89" spans="1:5" x14ac:dyDescent="0.25">
      <c r="A89" s="422"/>
      <c r="B89" s="672"/>
      <c r="C89" s="676"/>
      <c r="D89" s="421" t="s">
        <v>273</v>
      </c>
      <c r="E89" s="421" t="s">
        <v>229</v>
      </c>
    </row>
    <row r="90" spans="1:5" ht="60" x14ac:dyDescent="0.25">
      <c r="A90" s="421" t="s">
        <v>274</v>
      </c>
      <c r="B90" s="672"/>
      <c r="C90" s="424" t="s">
        <v>109</v>
      </c>
      <c r="D90" s="421" t="s">
        <v>275</v>
      </c>
      <c r="E90" s="421" t="s">
        <v>214</v>
      </c>
    </row>
    <row r="91" spans="1:5" x14ac:dyDescent="0.25">
      <c r="A91" s="422" t="s">
        <v>276</v>
      </c>
      <c r="B91" s="672"/>
      <c r="C91" s="674" t="s">
        <v>277</v>
      </c>
      <c r="D91" s="421" t="s">
        <v>278</v>
      </c>
      <c r="E91" s="421" t="s">
        <v>214</v>
      </c>
    </row>
    <row r="92" spans="1:5" ht="30" x14ac:dyDescent="0.25">
      <c r="A92" s="422"/>
      <c r="B92" s="672"/>
      <c r="C92" s="675"/>
      <c r="D92" s="421" t="s">
        <v>279</v>
      </c>
      <c r="E92" s="421" t="s">
        <v>229</v>
      </c>
    </row>
    <row r="93" spans="1:5" ht="45" x14ac:dyDescent="0.25">
      <c r="A93" s="422"/>
      <c r="B93" s="672"/>
      <c r="C93" s="675"/>
      <c r="D93" s="421" t="s">
        <v>280</v>
      </c>
      <c r="E93" s="421" t="s">
        <v>229</v>
      </c>
    </row>
    <row r="94" spans="1:5" ht="30" x14ac:dyDescent="0.25">
      <c r="A94" s="422"/>
      <c r="B94" s="672"/>
      <c r="C94" s="675"/>
      <c r="D94" s="421" t="s">
        <v>281</v>
      </c>
      <c r="E94" s="421" t="s">
        <v>229</v>
      </c>
    </row>
    <row r="95" spans="1:5" x14ac:dyDescent="0.25">
      <c r="A95" s="422"/>
      <c r="B95" s="672"/>
      <c r="C95" s="675"/>
      <c r="D95" s="421" t="s">
        <v>282</v>
      </c>
      <c r="E95" s="421" t="s">
        <v>229</v>
      </c>
    </row>
    <row r="96" spans="1:5" x14ac:dyDescent="0.25">
      <c r="A96" s="422"/>
      <c r="B96" s="672"/>
      <c r="C96" s="675"/>
      <c r="D96" s="421" t="s">
        <v>283</v>
      </c>
      <c r="E96" s="421" t="s">
        <v>229</v>
      </c>
    </row>
    <row r="97" spans="1:5" x14ac:dyDescent="0.25">
      <c r="A97" s="422"/>
      <c r="B97" s="672"/>
      <c r="C97" s="675"/>
      <c r="D97" s="421" t="s">
        <v>284</v>
      </c>
      <c r="E97" s="421" t="s">
        <v>229</v>
      </c>
    </row>
    <row r="98" spans="1:5" x14ac:dyDescent="0.25">
      <c r="A98" s="422"/>
      <c r="B98" s="672"/>
      <c r="C98" s="675"/>
      <c r="D98" s="421" t="s">
        <v>285</v>
      </c>
      <c r="E98" s="421" t="s">
        <v>229</v>
      </c>
    </row>
    <row r="99" spans="1:5" x14ac:dyDescent="0.25">
      <c r="A99" s="422"/>
      <c r="B99" s="672"/>
      <c r="C99" s="675"/>
      <c r="D99" s="421" t="s">
        <v>286</v>
      </c>
      <c r="E99" s="421" t="s">
        <v>229</v>
      </c>
    </row>
    <row r="100" spans="1:5" x14ac:dyDescent="0.25">
      <c r="A100" s="422"/>
      <c r="B100" s="672"/>
      <c r="C100" s="675"/>
      <c r="D100" s="421" t="s">
        <v>287</v>
      </c>
      <c r="E100" s="421" t="s">
        <v>229</v>
      </c>
    </row>
    <row r="101" spans="1:5" x14ac:dyDescent="0.25">
      <c r="A101" s="422"/>
      <c r="B101" s="672"/>
      <c r="C101" s="676"/>
      <c r="D101" s="421" t="s">
        <v>288</v>
      </c>
      <c r="E101" s="421" t="s">
        <v>229</v>
      </c>
    </row>
    <row r="102" spans="1:5" ht="30" x14ac:dyDescent="0.25">
      <c r="A102" s="420" t="s">
        <v>289</v>
      </c>
      <c r="B102" s="672"/>
      <c r="C102" s="674" t="s">
        <v>212</v>
      </c>
      <c r="D102" s="421" t="s">
        <v>290</v>
      </c>
      <c r="E102" s="421" t="s">
        <v>214</v>
      </c>
    </row>
    <row r="103" spans="1:5" ht="30" x14ac:dyDescent="0.25">
      <c r="A103" s="422"/>
      <c r="B103" s="672"/>
      <c r="C103" s="675"/>
      <c r="D103" s="421" t="s">
        <v>291</v>
      </c>
      <c r="E103" s="421" t="s">
        <v>214</v>
      </c>
    </row>
    <row r="104" spans="1:5" ht="30" x14ac:dyDescent="0.25">
      <c r="A104" s="422"/>
      <c r="B104" s="672"/>
      <c r="C104" s="675"/>
      <c r="D104" s="421" t="s">
        <v>292</v>
      </c>
      <c r="E104" s="421" t="s">
        <v>214</v>
      </c>
    </row>
    <row r="105" spans="1:5" x14ac:dyDescent="0.25">
      <c r="A105" s="422"/>
      <c r="B105" s="672"/>
      <c r="C105" s="675"/>
      <c r="D105" s="421" t="s">
        <v>293</v>
      </c>
      <c r="E105" s="421" t="s">
        <v>214</v>
      </c>
    </row>
    <row r="106" spans="1:5" ht="30" x14ac:dyDescent="0.25">
      <c r="A106" s="422"/>
      <c r="B106" s="672"/>
      <c r="C106" s="675"/>
      <c r="D106" s="421" t="s">
        <v>294</v>
      </c>
      <c r="E106" s="421" t="s">
        <v>214</v>
      </c>
    </row>
    <row r="107" spans="1:5" ht="30" x14ac:dyDescent="0.25">
      <c r="A107" s="422"/>
      <c r="B107" s="672"/>
      <c r="C107" s="675"/>
      <c r="D107" s="421" t="s">
        <v>295</v>
      </c>
      <c r="E107" s="421" t="s">
        <v>214</v>
      </c>
    </row>
    <row r="108" spans="1:5" x14ac:dyDescent="0.25">
      <c r="A108" s="422"/>
      <c r="B108" s="672"/>
      <c r="C108" s="675"/>
      <c r="D108" s="421" t="s">
        <v>296</v>
      </c>
      <c r="E108" s="421" t="s">
        <v>214</v>
      </c>
    </row>
    <row r="109" spans="1:5" ht="30" x14ac:dyDescent="0.25">
      <c r="A109" s="422"/>
      <c r="B109" s="672"/>
      <c r="C109" s="675"/>
      <c r="D109" s="421" t="s">
        <v>297</v>
      </c>
      <c r="E109" s="421" t="s">
        <v>214</v>
      </c>
    </row>
    <row r="110" spans="1:5" ht="30" x14ac:dyDescent="0.25">
      <c r="A110" s="422"/>
      <c r="B110" s="672"/>
      <c r="C110" s="675"/>
      <c r="D110" s="421" t="s">
        <v>298</v>
      </c>
      <c r="E110" s="421" t="s">
        <v>214</v>
      </c>
    </row>
    <row r="111" spans="1:5" ht="30" x14ac:dyDescent="0.25">
      <c r="A111" s="422"/>
      <c r="B111" s="672"/>
      <c r="C111" s="675"/>
      <c r="D111" s="421" t="s">
        <v>299</v>
      </c>
      <c r="E111" s="421" t="s">
        <v>214</v>
      </c>
    </row>
    <row r="112" spans="1:5" ht="30" x14ac:dyDescent="0.25">
      <c r="A112" s="422"/>
      <c r="B112" s="672"/>
      <c r="C112" s="675"/>
      <c r="D112" s="421" t="s">
        <v>300</v>
      </c>
      <c r="E112" s="421" t="s">
        <v>214</v>
      </c>
    </row>
    <row r="113" spans="1:5" ht="30" x14ac:dyDescent="0.25">
      <c r="A113" s="422"/>
      <c r="B113" s="672"/>
      <c r="C113" s="675"/>
      <c r="D113" s="421" t="s">
        <v>301</v>
      </c>
      <c r="E113" s="421" t="s">
        <v>214</v>
      </c>
    </row>
    <row r="114" spans="1:5" ht="30" x14ac:dyDescent="0.25">
      <c r="A114" s="422"/>
      <c r="B114" s="672"/>
      <c r="C114" s="675"/>
      <c r="D114" s="421" t="s">
        <v>302</v>
      </c>
      <c r="E114" s="421" t="s">
        <v>214</v>
      </c>
    </row>
    <row r="115" spans="1:5" ht="30" x14ac:dyDescent="0.25">
      <c r="A115" s="422"/>
      <c r="B115" s="672"/>
      <c r="C115" s="675"/>
      <c r="D115" s="421" t="s">
        <v>303</v>
      </c>
      <c r="E115" s="421" t="s">
        <v>214</v>
      </c>
    </row>
    <row r="116" spans="1:5" ht="30" x14ac:dyDescent="0.25">
      <c r="A116" s="422"/>
      <c r="B116" s="672"/>
      <c r="C116" s="675"/>
      <c r="D116" s="421" t="s">
        <v>304</v>
      </c>
      <c r="E116" s="421" t="s">
        <v>214</v>
      </c>
    </row>
    <row r="117" spans="1:5" ht="30" x14ac:dyDescent="0.25">
      <c r="A117" s="422"/>
      <c r="B117" s="672"/>
      <c r="C117" s="675"/>
      <c r="D117" s="421" t="s">
        <v>305</v>
      </c>
      <c r="E117" s="421" t="s">
        <v>214</v>
      </c>
    </row>
    <row r="118" spans="1:5" ht="30" x14ac:dyDescent="0.25">
      <c r="A118" s="422"/>
      <c r="B118" s="673"/>
      <c r="C118" s="676"/>
      <c r="D118" s="421" t="s">
        <v>306</v>
      </c>
      <c r="E118" s="421" t="s">
        <v>214</v>
      </c>
    </row>
    <row r="119" spans="1:5" ht="30" customHeight="1" x14ac:dyDescent="0.25">
      <c r="A119" s="421" t="s">
        <v>307</v>
      </c>
      <c r="B119" s="668" t="s">
        <v>308</v>
      </c>
      <c r="C119" s="421" t="s">
        <v>309</v>
      </c>
      <c r="D119" s="421" t="s">
        <v>310</v>
      </c>
      <c r="E119" s="421" t="s">
        <v>214</v>
      </c>
    </row>
    <row r="120" spans="1:5" ht="15" customHeight="1" x14ac:dyDescent="0.25">
      <c r="A120" s="422" t="s">
        <v>311</v>
      </c>
      <c r="B120" s="669"/>
      <c r="C120" s="668" t="s">
        <v>212</v>
      </c>
      <c r="D120" s="421" t="s">
        <v>675</v>
      </c>
      <c r="E120" s="421" t="s">
        <v>233</v>
      </c>
    </row>
    <row r="121" spans="1:5" x14ac:dyDescent="0.25">
      <c r="A121" s="422"/>
      <c r="B121" s="669"/>
      <c r="C121" s="669"/>
      <c r="D121" s="421" t="s">
        <v>676</v>
      </c>
      <c r="E121" s="421" t="s">
        <v>233</v>
      </c>
    </row>
    <row r="122" spans="1:5" x14ac:dyDescent="0.25">
      <c r="A122" s="422"/>
      <c r="B122" s="669"/>
      <c r="C122" s="669"/>
      <c r="D122" s="421" t="s">
        <v>312</v>
      </c>
      <c r="E122" s="421" t="s">
        <v>233</v>
      </c>
    </row>
    <row r="123" spans="1:5" x14ac:dyDescent="0.25">
      <c r="A123" s="422"/>
      <c r="B123" s="669"/>
      <c r="C123" s="669"/>
      <c r="D123" s="421" t="s">
        <v>313</v>
      </c>
      <c r="E123" s="421" t="s">
        <v>314</v>
      </c>
    </row>
    <row r="124" spans="1:5" x14ac:dyDescent="0.25">
      <c r="A124" s="422"/>
      <c r="B124" s="669"/>
      <c r="C124" s="669"/>
      <c r="D124" s="421" t="s">
        <v>315</v>
      </c>
      <c r="E124" s="421" t="s">
        <v>233</v>
      </c>
    </row>
    <row r="125" spans="1:5" ht="30" x14ac:dyDescent="0.25">
      <c r="A125" s="422"/>
      <c r="B125" s="669"/>
      <c r="C125" s="669"/>
      <c r="D125" s="421" t="s">
        <v>316</v>
      </c>
      <c r="E125" s="421" t="s">
        <v>233</v>
      </c>
    </row>
    <row r="126" spans="1:5" x14ac:dyDescent="0.25">
      <c r="A126" s="422"/>
      <c r="B126" s="669"/>
      <c r="C126" s="669"/>
      <c r="D126" s="421" t="s">
        <v>317</v>
      </c>
      <c r="E126" s="421" t="s">
        <v>233</v>
      </c>
    </row>
    <row r="127" spans="1:5" ht="30" x14ac:dyDescent="0.25">
      <c r="A127" s="422"/>
      <c r="B127" s="669"/>
      <c r="C127" s="669"/>
      <c r="D127" s="421" t="s">
        <v>318</v>
      </c>
      <c r="E127" s="421" t="s">
        <v>214</v>
      </c>
    </row>
    <row r="128" spans="1:5" ht="30" x14ac:dyDescent="0.25">
      <c r="A128" s="422"/>
      <c r="B128" s="669"/>
      <c r="C128" s="669"/>
      <c r="D128" s="421" t="s">
        <v>319</v>
      </c>
      <c r="E128" s="421" t="s">
        <v>214</v>
      </c>
    </row>
    <row r="129" spans="1:5" ht="30" x14ac:dyDescent="0.25">
      <c r="A129" s="422"/>
      <c r="B129" s="669"/>
      <c r="C129" s="669"/>
      <c r="D129" s="421" t="s">
        <v>320</v>
      </c>
      <c r="E129" s="421" t="s">
        <v>214</v>
      </c>
    </row>
    <row r="130" spans="1:5" ht="30" x14ac:dyDescent="0.25">
      <c r="A130" s="422"/>
      <c r="B130" s="669"/>
      <c r="C130" s="669"/>
      <c r="D130" s="421" t="s">
        <v>321</v>
      </c>
      <c r="E130" s="421" t="s">
        <v>214</v>
      </c>
    </row>
    <row r="131" spans="1:5" ht="30" x14ac:dyDescent="0.25">
      <c r="A131" s="422"/>
      <c r="B131" s="669"/>
      <c r="C131" s="669"/>
      <c r="D131" s="421" t="s">
        <v>322</v>
      </c>
      <c r="E131" s="421" t="s">
        <v>214</v>
      </c>
    </row>
    <row r="132" spans="1:5" ht="30" x14ac:dyDescent="0.25">
      <c r="A132" s="422"/>
      <c r="B132" s="669"/>
      <c r="C132" s="669"/>
      <c r="D132" s="421" t="s">
        <v>323</v>
      </c>
      <c r="E132" s="421" t="s">
        <v>214</v>
      </c>
    </row>
    <row r="133" spans="1:5" ht="30" x14ac:dyDescent="0.25">
      <c r="A133" s="422"/>
      <c r="B133" s="669"/>
      <c r="C133" s="669"/>
      <c r="D133" s="421" t="s">
        <v>324</v>
      </c>
      <c r="E133" s="421" t="s">
        <v>214</v>
      </c>
    </row>
    <row r="134" spans="1:5" ht="45" x14ac:dyDescent="0.25">
      <c r="A134" s="422"/>
      <c r="B134" s="669"/>
      <c r="C134" s="669"/>
      <c r="D134" s="421" t="s">
        <v>325</v>
      </c>
      <c r="E134" s="421" t="s">
        <v>214</v>
      </c>
    </row>
    <row r="135" spans="1:5" ht="45" x14ac:dyDescent="0.25">
      <c r="A135" s="422"/>
      <c r="B135" s="669"/>
      <c r="C135" s="669"/>
      <c r="D135" s="421" t="s">
        <v>326</v>
      </c>
      <c r="E135" s="421" t="s">
        <v>214</v>
      </c>
    </row>
    <row r="136" spans="1:5" x14ac:dyDescent="0.25">
      <c r="A136" s="422"/>
      <c r="B136" s="669"/>
      <c r="C136" s="669"/>
      <c r="D136" s="421" t="s">
        <v>327</v>
      </c>
      <c r="E136" s="421" t="s">
        <v>233</v>
      </c>
    </row>
    <row r="137" spans="1:5" x14ac:dyDescent="0.25">
      <c r="A137" s="422"/>
      <c r="B137" s="669"/>
      <c r="C137" s="669"/>
      <c r="D137" s="421" t="s">
        <v>328</v>
      </c>
      <c r="E137" s="421" t="s">
        <v>233</v>
      </c>
    </row>
    <row r="138" spans="1:5" x14ac:dyDescent="0.25">
      <c r="A138" s="422"/>
      <c r="B138" s="669"/>
      <c r="C138" s="669"/>
      <c r="D138" s="421" t="s">
        <v>329</v>
      </c>
      <c r="E138" s="421" t="s">
        <v>233</v>
      </c>
    </row>
    <row r="139" spans="1:5" x14ac:dyDescent="0.25">
      <c r="A139" s="422"/>
      <c r="B139" s="669"/>
      <c r="C139" s="669"/>
      <c r="D139" s="421" t="s">
        <v>330</v>
      </c>
      <c r="E139" s="421" t="s">
        <v>233</v>
      </c>
    </row>
    <row r="140" spans="1:5" x14ac:dyDescent="0.25">
      <c r="A140" s="422"/>
      <c r="B140" s="669"/>
      <c r="C140" s="669"/>
      <c r="D140" s="421" t="s">
        <v>331</v>
      </c>
      <c r="E140" s="421" t="s">
        <v>214</v>
      </c>
    </row>
    <row r="141" spans="1:5" ht="30" x14ac:dyDescent="0.25">
      <c r="A141" s="422"/>
      <c r="B141" s="670"/>
      <c r="C141" s="670"/>
      <c r="D141" s="421" t="s">
        <v>679</v>
      </c>
      <c r="E141" s="421"/>
    </row>
    <row r="142" spans="1:5" x14ac:dyDescent="0.25">
      <c r="A142" s="420" t="s">
        <v>332</v>
      </c>
      <c r="B142" s="671" t="s">
        <v>333</v>
      </c>
      <c r="C142" s="674" t="s">
        <v>194</v>
      </c>
      <c r="D142" s="421" t="s">
        <v>334</v>
      </c>
      <c r="E142" s="421" t="s">
        <v>335</v>
      </c>
    </row>
    <row r="143" spans="1:5" x14ac:dyDescent="0.25">
      <c r="A143" s="422"/>
      <c r="B143" s="672"/>
      <c r="C143" s="675"/>
      <c r="D143" s="421" t="s">
        <v>336</v>
      </c>
      <c r="E143" s="421" t="s">
        <v>229</v>
      </c>
    </row>
    <row r="144" spans="1:5" ht="30" x14ac:dyDescent="0.25">
      <c r="A144" s="422"/>
      <c r="B144" s="672"/>
      <c r="C144" s="675"/>
      <c r="D144" s="421" t="s">
        <v>337</v>
      </c>
      <c r="E144" s="421" t="s">
        <v>229</v>
      </c>
    </row>
    <row r="145" spans="1:5" ht="30" x14ac:dyDescent="0.25">
      <c r="A145" s="422"/>
      <c r="B145" s="672"/>
      <c r="C145" s="675"/>
      <c r="D145" s="421" t="s">
        <v>338</v>
      </c>
      <c r="E145" s="421" t="s">
        <v>214</v>
      </c>
    </row>
    <row r="146" spans="1:5" ht="30" x14ac:dyDescent="0.25">
      <c r="A146" s="422"/>
      <c r="B146" s="672"/>
      <c r="C146" s="675"/>
      <c r="D146" s="421" t="s">
        <v>556</v>
      </c>
      <c r="E146" s="421" t="s">
        <v>229</v>
      </c>
    </row>
    <row r="147" spans="1:5" x14ac:dyDescent="0.25">
      <c r="A147" s="422"/>
      <c r="B147" s="672"/>
      <c r="C147" s="675"/>
      <c r="D147" s="421" t="s">
        <v>339</v>
      </c>
      <c r="E147" s="421" t="s">
        <v>229</v>
      </c>
    </row>
    <row r="148" spans="1:5" x14ac:dyDescent="0.25">
      <c r="A148" s="422"/>
      <c r="B148" s="672"/>
      <c r="C148" s="675"/>
      <c r="D148" s="421" t="s">
        <v>340</v>
      </c>
      <c r="E148" s="421" t="s">
        <v>335</v>
      </c>
    </row>
    <row r="149" spans="1:5" x14ac:dyDescent="0.25">
      <c r="A149" s="422"/>
      <c r="B149" s="672"/>
      <c r="C149" s="676"/>
      <c r="D149" s="421" t="s">
        <v>341</v>
      </c>
      <c r="E149" s="421" t="s">
        <v>229</v>
      </c>
    </row>
    <row r="150" spans="1:5" ht="45" x14ac:dyDescent="0.25">
      <c r="A150" s="421" t="s">
        <v>342</v>
      </c>
      <c r="B150" s="672"/>
      <c r="C150" s="421" t="s">
        <v>236</v>
      </c>
      <c r="D150" s="421" t="s">
        <v>343</v>
      </c>
      <c r="E150" s="421" t="s">
        <v>229</v>
      </c>
    </row>
    <row r="151" spans="1:5" x14ac:dyDescent="0.25">
      <c r="A151" s="422" t="s">
        <v>344</v>
      </c>
      <c r="B151" s="672"/>
      <c r="C151" s="674" t="s">
        <v>277</v>
      </c>
      <c r="D151" s="421" t="s">
        <v>345</v>
      </c>
      <c r="E151" s="421" t="s">
        <v>214</v>
      </c>
    </row>
    <row r="152" spans="1:5" ht="30" x14ac:dyDescent="0.25">
      <c r="A152" s="422"/>
      <c r="B152" s="672"/>
      <c r="C152" s="675"/>
      <c r="D152" s="421" t="s">
        <v>346</v>
      </c>
      <c r="E152" s="421" t="s">
        <v>214</v>
      </c>
    </row>
    <row r="153" spans="1:5" x14ac:dyDescent="0.25">
      <c r="A153" s="422"/>
      <c r="B153" s="672"/>
      <c r="C153" s="675"/>
      <c r="D153" s="421" t="s">
        <v>347</v>
      </c>
      <c r="E153" s="421" t="s">
        <v>229</v>
      </c>
    </row>
    <row r="154" spans="1:5" ht="45" x14ac:dyDescent="0.25">
      <c r="A154" s="422"/>
      <c r="B154" s="672"/>
      <c r="C154" s="676"/>
      <c r="D154" s="421" t="s">
        <v>348</v>
      </c>
      <c r="E154" s="421" t="s">
        <v>214</v>
      </c>
    </row>
    <row r="155" spans="1:5" x14ac:dyDescent="0.25">
      <c r="A155" s="420" t="s">
        <v>349</v>
      </c>
      <c r="B155" s="672"/>
      <c r="C155" s="674" t="s">
        <v>350</v>
      </c>
      <c r="D155" s="421" t="s">
        <v>351</v>
      </c>
      <c r="E155" s="421" t="s">
        <v>229</v>
      </c>
    </row>
    <row r="156" spans="1:5" x14ac:dyDescent="0.25">
      <c r="A156" s="422"/>
      <c r="B156" s="672"/>
      <c r="C156" s="675"/>
      <c r="D156" s="421" t="s">
        <v>352</v>
      </c>
      <c r="E156" s="421" t="s">
        <v>229</v>
      </c>
    </row>
    <row r="157" spans="1:5" x14ac:dyDescent="0.25">
      <c r="A157" s="422"/>
      <c r="B157" s="672"/>
      <c r="C157" s="675"/>
      <c r="D157" s="421" t="s">
        <v>353</v>
      </c>
      <c r="E157" s="421" t="s">
        <v>229</v>
      </c>
    </row>
    <row r="158" spans="1:5" x14ac:dyDescent="0.25">
      <c r="A158" s="422"/>
      <c r="B158" s="672"/>
      <c r="C158" s="675"/>
      <c r="D158" s="421" t="s">
        <v>354</v>
      </c>
      <c r="E158" s="421" t="s">
        <v>335</v>
      </c>
    </row>
    <row r="159" spans="1:5" x14ac:dyDescent="0.25">
      <c r="A159" s="422"/>
      <c r="B159" s="672"/>
      <c r="C159" s="675"/>
      <c r="D159" s="421" t="s">
        <v>355</v>
      </c>
      <c r="E159" s="421" t="s">
        <v>229</v>
      </c>
    </row>
    <row r="160" spans="1:5" x14ac:dyDescent="0.25">
      <c r="A160" s="422"/>
      <c r="B160" s="672"/>
      <c r="C160" s="675"/>
      <c r="D160" s="421" t="s">
        <v>356</v>
      </c>
      <c r="E160" s="421" t="s">
        <v>229</v>
      </c>
    </row>
    <row r="161" spans="1:5" x14ac:dyDescent="0.25">
      <c r="A161" s="422"/>
      <c r="B161" s="672"/>
      <c r="C161" s="675"/>
      <c r="D161" s="421" t="s">
        <v>357</v>
      </c>
      <c r="E161" s="421" t="s">
        <v>229</v>
      </c>
    </row>
    <row r="162" spans="1:5" x14ac:dyDescent="0.25">
      <c r="A162" s="423"/>
      <c r="B162" s="672"/>
      <c r="C162" s="676"/>
      <c r="D162" s="421" t="s">
        <v>358</v>
      </c>
      <c r="E162" s="421" t="s">
        <v>229</v>
      </c>
    </row>
    <row r="163" spans="1:5" x14ac:dyDescent="0.25">
      <c r="A163" s="422" t="s">
        <v>359</v>
      </c>
      <c r="B163" s="672"/>
      <c r="C163" s="674" t="s">
        <v>360</v>
      </c>
      <c r="D163" s="421" t="s">
        <v>361</v>
      </c>
      <c r="E163" s="421" t="s">
        <v>229</v>
      </c>
    </row>
    <row r="164" spans="1:5" x14ac:dyDescent="0.25">
      <c r="A164" s="422"/>
      <c r="B164" s="672"/>
      <c r="C164" s="675"/>
      <c r="D164" s="421" t="s">
        <v>362</v>
      </c>
      <c r="E164" s="421" t="s">
        <v>229</v>
      </c>
    </row>
    <row r="165" spans="1:5" x14ac:dyDescent="0.25">
      <c r="A165" s="422"/>
      <c r="B165" s="672"/>
      <c r="C165" s="675"/>
      <c r="D165" s="421" t="s">
        <v>363</v>
      </c>
      <c r="E165" s="421" t="s">
        <v>229</v>
      </c>
    </row>
    <row r="166" spans="1:5" x14ac:dyDescent="0.25">
      <c r="A166" s="422"/>
      <c r="B166" s="672"/>
      <c r="C166" s="675"/>
      <c r="D166" s="421" t="s">
        <v>364</v>
      </c>
      <c r="E166" s="421" t="s">
        <v>335</v>
      </c>
    </row>
    <row r="167" spans="1:5" x14ac:dyDescent="0.25">
      <c r="A167" s="422"/>
      <c r="B167" s="672"/>
      <c r="C167" s="675"/>
      <c r="D167" s="421" t="s">
        <v>365</v>
      </c>
      <c r="E167" s="421" t="s">
        <v>335</v>
      </c>
    </row>
    <row r="168" spans="1:5" x14ac:dyDescent="0.25">
      <c r="A168" s="422"/>
      <c r="B168" s="672"/>
      <c r="C168" s="675"/>
      <c r="D168" s="421" t="s">
        <v>366</v>
      </c>
      <c r="E168" s="421" t="s">
        <v>335</v>
      </c>
    </row>
    <row r="169" spans="1:5" ht="45" x14ac:dyDescent="0.25">
      <c r="A169" s="422"/>
      <c r="B169" s="672"/>
      <c r="C169" s="675"/>
      <c r="D169" s="421" t="s">
        <v>367</v>
      </c>
      <c r="E169" s="421" t="s">
        <v>229</v>
      </c>
    </row>
    <row r="170" spans="1:5" x14ac:dyDescent="0.25">
      <c r="A170" s="422"/>
      <c r="B170" s="672"/>
      <c r="C170" s="675"/>
      <c r="D170" s="421" t="s">
        <v>368</v>
      </c>
      <c r="E170" s="421" t="s">
        <v>335</v>
      </c>
    </row>
    <row r="171" spans="1:5" x14ac:dyDescent="0.25">
      <c r="A171" s="422"/>
      <c r="B171" s="672"/>
      <c r="C171" s="675"/>
      <c r="D171" s="421" t="s">
        <v>369</v>
      </c>
      <c r="E171" s="421" t="s">
        <v>229</v>
      </c>
    </row>
    <row r="172" spans="1:5" x14ac:dyDescent="0.25">
      <c r="A172" s="422"/>
      <c r="B172" s="672"/>
      <c r="C172" s="675"/>
      <c r="D172" s="421" t="s">
        <v>370</v>
      </c>
      <c r="E172" s="421" t="s">
        <v>335</v>
      </c>
    </row>
    <row r="173" spans="1:5" x14ac:dyDescent="0.25">
      <c r="A173" s="422"/>
      <c r="B173" s="672"/>
      <c r="C173" s="675"/>
      <c r="D173" s="421" t="s">
        <v>371</v>
      </c>
      <c r="E173" s="421" t="s">
        <v>335</v>
      </c>
    </row>
    <row r="174" spans="1:5" x14ac:dyDescent="0.25">
      <c r="A174" s="422"/>
      <c r="B174" s="672"/>
      <c r="C174" s="675"/>
      <c r="D174" s="421" t="s">
        <v>372</v>
      </c>
      <c r="E174" s="421" t="s">
        <v>335</v>
      </c>
    </row>
    <row r="175" spans="1:5" x14ac:dyDescent="0.25">
      <c r="A175" s="422"/>
      <c r="B175" s="672"/>
      <c r="C175" s="675"/>
      <c r="D175" s="421" t="s">
        <v>373</v>
      </c>
      <c r="E175" s="421" t="s">
        <v>335</v>
      </c>
    </row>
    <row r="176" spans="1:5" x14ac:dyDescent="0.25">
      <c r="A176" s="422"/>
      <c r="B176" s="672"/>
      <c r="C176" s="675"/>
      <c r="D176" s="421" t="s">
        <v>374</v>
      </c>
      <c r="E176" s="421" t="s">
        <v>335</v>
      </c>
    </row>
    <row r="177" spans="1:5" x14ac:dyDescent="0.25">
      <c r="A177" s="422"/>
      <c r="B177" s="672"/>
      <c r="C177" s="675"/>
      <c r="D177" s="421" t="s">
        <v>375</v>
      </c>
      <c r="E177" s="421" t="s">
        <v>335</v>
      </c>
    </row>
    <row r="178" spans="1:5" x14ac:dyDescent="0.25">
      <c r="A178" s="422"/>
      <c r="B178" s="672"/>
      <c r="C178" s="675"/>
      <c r="D178" s="421" t="s">
        <v>376</v>
      </c>
      <c r="E178" s="421" t="s">
        <v>335</v>
      </c>
    </row>
    <row r="179" spans="1:5" x14ac:dyDescent="0.25">
      <c r="A179" s="422"/>
      <c r="B179" s="672"/>
      <c r="C179" s="675"/>
      <c r="D179" s="421" t="s">
        <v>377</v>
      </c>
      <c r="E179" s="421" t="s">
        <v>378</v>
      </c>
    </row>
    <row r="180" spans="1:5" x14ac:dyDescent="0.25">
      <c r="A180" s="422"/>
      <c r="B180" s="672"/>
      <c r="C180" s="675"/>
      <c r="D180" s="421" t="s">
        <v>379</v>
      </c>
      <c r="E180" s="421" t="s">
        <v>335</v>
      </c>
    </row>
    <row r="181" spans="1:5" x14ac:dyDescent="0.25">
      <c r="A181" s="422"/>
      <c r="B181" s="672"/>
      <c r="C181" s="675"/>
      <c r="D181" s="421" t="s">
        <v>380</v>
      </c>
      <c r="E181" s="421" t="s">
        <v>335</v>
      </c>
    </row>
    <row r="182" spans="1:5" x14ac:dyDescent="0.25">
      <c r="A182" s="422"/>
      <c r="B182" s="672"/>
      <c r="C182" s="675"/>
      <c r="D182" s="421" t="s">
        <v>381</v>
      </c>
      <c r="E182" s="421" t="s">
        <v>335</v>
      </c>
    </row>
    <row r="183" spans="1:5" x14ac:dyDescent="0.25">
      <c r="A183" s="422"/>
      <c r="B183" s="672"/>
      <c r="C183" s="675"/>
      <c r="D183" s="421" t="s">
        <v>382</v>
      </c>
      <c r="E183" s="421" t="s">
        <v>335</v>
      </c>
    </row>
    <row r="184" spans="1:5" x14ac:dyDescent="0.25">
      <c r="A184" s="422"/>
      <c r="B184" s="672"/>
      <c r="C184" s="675"/>
      <c r="D184" s="421" t="s">
        <v>383</v>
      </c>
      <c r="E184" s="421" t="s">
        <v>335</v>
      </c>
    </row>
    <row r="185" spans="1:5" x14ac:dyDescent="0.25">
      <c r="A185" s="422"/>
      <c r="B185" s="672"/>
      <c r="C185" s="675"/>
      <c r="D185" s="421" t="s">
        <v>384</v>
      </c>
      <c r="E185" s="421" t="s">
        <v>229</v>
      </c>
    </row>
    <row r="186" spans="1:5" x14ac:dyDescent="0.25">
      <c r="A186" s="422"/>
      <c r="B186" s="672"/>
      <c r="C186" s="675"/>
      <c r="D186" s="421" t="s">
        <v>385</v>
      </c>
      <c r="E186" s="421" t="s">
        <v>229</v>
      </c>
    </row>
    <row r="187" spans="1:5" x14ac:dyDescent="0.25">
      <c r="A187" s="422"/>
      <c r="B187" s="672"/>
      <c r="C187" s="675"/>
      <c r="D187" s="421" t="s">
        <v>386</v>
      </c>
      <c r="E187" s="421" t="s">
        <v>229</v>
      </c>
    </row>
    <row r="188" spans="1:5" x14ac:dyDescent="0.25">
      <c r="A188" s="422"/>
      <c r="B188" s="672"/>
      <c r="C188" s="675"/>
      <c r="D188" s="421" t="s">
        <v>387</v>
      </c>
      <c r="E188" s="421" t="s">
        <v>229</v>
      </c>
    </row>
    <row r="189" spans="1:5" x14ac:dyDescent="0.25">
      <c r="A189" s="422"/>
      <c r="B189" s="672"/>
      <c r="C189" s="675"/>
      <c r="D189" s="421" t="s">
        <v>388</v>
      </c>
      <c r="E189" s="421" t="s">
        <v>229</v>
      </c>
    </row>
    <row r="190" spans="1:5" x14ac:dyDescent="0.25">
      <c r="A190" s="422"/>
      <c r="B190" s="672"/>
      <c r="C190" s="675"/>
      <c r="D190" s="421" t="s">
        <v>389</v>
      </c>
      <c r="E190" s="421" t="s">
        <v>229</v>
      </c>
    </row>
    <row r="191" spans="1:5" x14ac:dyDescent="0.25">
      <c r="A191" s="422"/>
      <c r="B191" s="672"/>
      <c r="C191" s="675"/>
      <c r="D191" s="421" t="s">
        <v>390</v>
      </c>
      <c r="E191" s="421" t="s">
        <v>229</v>
      </c>
    </row>
    <row r="192" spans="1:5" x14ac:dyDescent="0.25">
      <c r="A192" s="422"/>
      <c r="B192" s="672"/>
      <c r="C192" s="675"/>
      <c r="D192" s="421" t="s">
        <v>391</v>
      </c>
      <c r="E192" s="421" t="s">
        <v>229</v>
      </c>
    </row>
    <row r="193" spans="1:5" x14ac:dyDescent="0.25">
      <c r="A193" s="422"/>
      <c r="B193" s="672"/>
      <c r="C193" s="675"/>
      <c r="D193" s="421" t="s">
        <v>392</v>
      </c>
      <c r="E193" s="421" t="s">
        <v>229</v>
      </c>
    </row>
    <row r="194" spans="1:5" x14ac:dyDescent="0.25">
      <c r="A194" s="422"/>
      <c r="B194" s="672"/>
      <c r="C194" s="675"/>
      <c r="D194" s="421" t="s">
        <v>393</v>
      </c>
      <c r="E194" s="421" t="s">
        <v>229</v>
      </c>
    </row>
    <row r="195" spans="1:5" x14ac:dyDescent="0.25">
      <c r="A195" s="422"/>
      <c r="B195" s="672"/>
      <c r="C195" s="675"/>
      <c r="D195" s="421" t="s">
        <v>394</v>
      </c>
      <c r="E195" s="421" t="s">
        <v>229</v>
      </c>
    </row>
    <row r="196" spans="1:5" x14ac:dyDescent="0.25">
      <c r="A196" s="422"/>
      <c r="B196" s="672"/>
      <c r="C196" s="675"/>
      <c r="D196" s="421" t="s">
        <v>395</v>
      </c>
      <c r="E196" s="421" t="s">
        <v>229</v>
      </c>
    </row>
    <row r="197" spans="1:5" x14ac:dyDescent="0.25">
      <c r="A197" s="422"/>
      <c r="B197" s="672"/>
      <c r="C197" s="675"/>
      <c r="D197" s="421" t="s">
        <v>396</v>
      </c>
      <c r="E197" s="421" t="s">
        <v>335</v>
      </c>
    </row>
    <row r="198" spans="1:5" x14ac:dyDescent="0.25">
      <c r="A198" s="422"/>
      <c r="B198" s="672"/>
      <c r="C198" s="675"/>
      <c r="D198" s="421" t="s">
        <v>397</v>
      </c>
      <c r="E198" s="421" t="s">
        <v>335</v>
      </c>
    </row>
    <row r="199" spans="1:5" x14ac:dyDescent="0.25">
      <c r="A199" s="422"/>
      <c r="B199" s="672"/>
      <c r="C199" s="675"/>
      <c r="D199" s="421" t="s">
        <v>398</v>
      </c>
      <c r="E199" s="421" t="s">
        <v>335</v>
      </c>
    </row>
    <row r="200" spans="1:5" x14ac:dyDescent="0.25">
      <c r="A200" s="422"/>
      <c r="B200" s="672"/>
      <c r="C200" s="675"/>
      <c r="D200" s="421" t="s">
        <v>399</v>
      </c>
      <c r="E200" s="421" t="s">
        <v>335</v>
      </c>
    </row>
    <row r="201" spans="1:5" x14ac:dyDescent="0.25">
      <c r="A201" s="422"/>
      <c r="B201" s="672"/>
      <c r="C201" s="675"/>
      <c r="D201" s="421" t="s">
        <v>400</v>
      </c>
      <c r="E201" s="421" t="s">
        <v>335</v>
      </c>
    </row>
    <row r="202" spans="1:5" x14ac:dyDescent="0.25">
      <c r="A202" s="422"/>
      <c r="B202" s="672"/>
      <c r="C202" s="675"/>
      <c r="D202" s="421" t="s">
        <v>401</v>
      </c>
      <c r="E202" s="421" t="s">
        <v>335</v>
      </c>
    </row>
    <row r="203" spans="1:5" x14ac:dyDescent="0.25">
      <c r="A203" s="422"/>
      <c r="B203" s="672"/>
      <c r="C203" s="675"/>
      <c r="D203" s="421" t="s">
        <v>402</v>
      </c>
      <c r="E203" s="421" t="s">
        <v>335</v>
      </c>
    </row>
    <row r="204" spans="1:5" x14ac:dyDescent="0.25">
      <c r="A204" s="422"/>
      <c r="B204" s="672"/>
      <c r="C204" s="675"/>
      <c r="D204" s="421" t="s">
        <v>403</v>
      </c>
      <c r="E204" s="421" t="s">
        <v>335</v>
      </c>
    </row>
    <row r="205" spans="1:5" x14ac:dyDescent="0.25">
      <c r="A205" s="422"/>
      <c r="B205" s="672"/>
      <c r="C205" s="675"/>
      <c r="D205" s="421" t="s">
        <v>404</v>
      </c>
      <c r="E205" s="421" t="s">
        <v>335</v>
      </c>
    </row>
    <row r="206" spans="1:5" x14ac:dyDescent="0.25">
      <c r="A206" s="422"/>
      <c r="B206" s="672"/>
      <c r="C206" s="675"/>
      <c r="D206" s="421" t="s">
        <v>405</v>
      </c>
      <c r="E206" s="421" t="s">
        <v>335</v>
      </c>
    </row>
    <row r="207" spans="1:5" x14ac:dyDescent="0.25">
      <c r="A207" s="422"/>
      <c r="B207" s="672"/>
      <c r="C207" s="675"/>
      <c r="D207" s="421" t="s">
        <v>406</v>
      </c>
      <c r="E207" s="421" t="s">
        <v>335</v>
      </c>
    </row>
    <row r="208" spans="1:5" x14ac:dyDescent="0.25">
      <c r="A208" s="422"/>
      <c r="B208" s="672"/>
      <c r="C208" s="675"/>
      <c r="D208" s="421" t="s">
        <v>407</v>
      </c>
      <c r="E208" s="421" t="s">
        <v>335</v>
      </c>
    </row>
    <row r="209" spans="1:5" x14ac:dyDescent="0.25">
      <c r="A209" s="422"/>
      <c r="B209" s="672"/>
      <c r="C209" s="675"/>
      <c r="D209" s="421" t="s">
        <v>408</v>
      </c>
      <c r="E209" s="421" t="s">
        <v>335</v>
      </c>
    </row>
    <row r="210" spans="1:5" x14ac:dyDescent="0.25">
      <c r="A210" s="422"/>
      <c r="B210" s="672"/>
      <c r="C210" s="675"/>
      <c r="D210" s="421" t="s">
        <v>409</v>
      </c>
      <c r="E210" s="421" t="s">
        <v>335</v>
      </c>
    </row>
    <row r="211" spans="1:5" x14ac:dyDescent="0.25">
      <c r="A211" s="422"/>
      <c r="B211" s="672"/>
      <c r="C211" s="675"/>
      <c r="D211" s="421" t="s">
        <v>410</v>
      </c>
      <c r="E211" s="421" t="s">
        <v>314</v>
      </c>
    </row>
    <row r="212" spans="1:5" x14ac:dyDescent="0.25">
      <c r="A212" s="422"/>
      <c r="B212" s="672"/>
      <c r="C212" s="675"/>
      <c r="D212" s="421" t="s">
        <v>411</v>
      </c>
      <c r="E212" s="421" t="s">
        <v>314</v>
      </c>
    </row>
    <row r="213" spans="1:5" x14ac:dyDescent="0.25">
      <c r="A213" s="422"/>
      <c r="B213" s="672"/>
      <c r="C213" s="675"/>
      <c r="D213" s="421" t="s">
        <v>569</v>
      </c>
      <c r="E213" s="421"/>
    </row>
    <row r="214" spans="1:5" x14ac:dyDescent="0.25">
      <c r="A214" s="422"/>
      <c r="B214" s="672"/>
      <c r="C214" s="675"/>
      <c r="D214" s="421" t="s">
        <v>412</v>
      </c>
      <c r="E214" s="421" t="s">
        <v>314</v>
      </c>
    </row>
    <row r="215" spans="1:5" x14ac:dyDescent="0.25">
      <c r="A215" s="422"/>
      <c r="B215" s="672"/>
      <c r="C215" s="675"/>
      <c r="D215" s="421" t="s">
        <v>413</v>
      </c>
      <c r="E215" s="421" t="s">
        <v>229</v>
      </c>
    </row>
    <row r="216" spans="1:5" x14ac:dyDescent="0.25">
      <c r="A216" s="422"/>
      <c r="B216" s="672"/>
      <c r="C216" s="675"/>
      <c r="D216" s="421" t="s">
        <v>414</v>
      </c>
      <c r="E216" s="421" t="s">
        <v>335</v>
      </c>
    </row>
    <row r="217" spans="1:5" x14ac:dyDescent="0.25">
      <c r="A217" s="422"/>
      <c r="B217" s="672"/>
      <c r="C217" s="676"/>
      <c r="D217" s="421" t="s">
        <v>415</v>
      </c>
      <c r="E217" s="421" t="s">
        <v>335</v>
      </c>
    </row>
    <row r="218" spans="1:5" ht="30" x14ac:dyDescent="0.25">
      <c r="A218" s="421" t="s">
        <v>416</v>
      </c>
      <c r="B218" s="672"/>
      <c r="C218" s="421" t="s">
        <v>360</v>
      </c>
      <c r="D218" s="421" t="s">
        <v>417</v>
      </c>
      <c r="E218" s="421" t="s">
        <v>335</v>
      </c>
    </row>
    <row r="219" spans="1:5" x14ac:dyDescent="0.25">
      <c r="A219" s="422" t="s">
        <v>418</v>
      </c>
      <c r="B219" s="672"/>
      <c r="C219" s="674" t="s">
        <v>419</v>
      </c>
      <c r="D219" s="421" t="s">
        <v>619</v>
      </c>
      <c r="E219" s="421" t="s">
        <v>335</v>
      </c>
    </row>
    <row r="220" spans="1:5" x14ac:dyDescent="0.25">
      <c r="A220" s="422"/>
      <c r="B220" s="672"/>
      <c r="C220" s="675"/>
      <c r="D220" s="421" t="s">
        <v>420</v>
      </c>
      <c r="E220" s="421" t="s">
        <v>335</v>
      </c>
    </row>
    <row r="221" spans="1:5" x14ac:dyDescent="0.25">
      <c r="A221" s="422"/>
      <c r="B221" s="672"/>
      <c r="C221" s="675"/>
      <c r="D221" s="421" t="s">
        <v>421</v>
      </c>
      <c r="E221" s="421" t="s">
        <v>335</v>
      </c>
    </row>
    <row r="222" spans="1:5" x14ac:dyDescent="0.25">
      <c r="A222" s="422"/>
      <c r="B222" s="672"/>
      <c r="C222" s="675"/>
      <c r="D222" s="421" t="s">
        <v>422</v>
      </c>
      <c r="E222" s="421" t="s">
        <v>335</v>
      </c>
    </row>
    <row r="223" spans="1:5" x14ac:dyDescent="0.25">
      <c r="A223" s="422"/>
      <c r="B223" s="672"/>
      <c r="C223" s="675"/>
      <c r="D223" s="421" t="s">
        <v>423</v>
      </c>
      <c r="E223" s="421" t="s">
        <v>335</v>
      </c>
    </row>
    <row r="224" spans="1:5" x14ac:dyDescent="0.25">
      <c r="A224" s="422"/>
      <c r="B224" s="672"/>
      <c r="C224" s="675"/>
      <c r="D224" s="421" t="s">
        <v>424</v>
      </c>
      <c r="E224" s="421" t="s">
        <v>335</v>
      </c>
    </row>
    <row r="225" spans="1:5" x14ac:dyDescent="0.25">
      <c r="A225" s="422"/>
      <c r="B225" s="672"/>
      <c r="C225" s="675"/>
      <c r="D225" s="421" t="s">
        <v>425</v>
      </c>
      <c r="E225" s="421" t="s">
        <v>335</v>
      </c>
    </row>
    <row r="226" spans="1:5" x14ac:dyDescent="0.25">
      <c r="A226" s="422"/>
      <c r="B226" s="673"/>
      <c r="C226" s="676"/>
      <c r="D226" s="421" t="s">
        <v>426</v>
      </c>
      <c r="E226" s="421" t="s">
        <v>335</v>
      </c>
    </row>
    <row r="227" spans="1:5" ht="30" x14ac:dyDescent="0.25">
      <c r="A227" s="420" t="s">
        <v>427</v>
      </c>
      <c r="B227" s="671" t="s">
        <v>428</v>
      </c>
      <c r="C227" s="421" t="s">
        <v>219</v>
      </c>
      <c r="D227" s="421" t="s">
        <v>429</v>
      </c>
      <c r="E227" s="421" t="s">
        <v>214</v>
      </c>
    </row>
    <row r="228" spans="1:5" x14ac:dyDescent="0.25">
      <c r="A228" s="420" t="s">
        <v>430</v>
      </c>
      <c r="B228" s="672"/>
      <c r="C228" s="674" t="s">
        <v>277</v>
      </c>
      <c r="D228" s="421" t="s">
        <v>431</v>
      </c>
      <c r="E228" s="421"/>
    </row>
    <row r="229" spans="1:5" x14ac:dyDescent="0.25">
      <c r="A229" s="422"/>
      <c r="B229" s="672"/>
      <c r="C229" s="675"/>
      <c r="D229" s="421" t="s">
        <v>432</v>
      </c>
      <c r="E229" s="421"/>
    </row>
    <row r="230" spans="1:5" x14ac:dyDescent="0.25">
      <c r="A230" s="422"/>
      <c r="B230" s="672"/>
      <c r="C230" s="675"/>
      <c r="D230" s="421" t="s">
        <v>433</v>
      </c>
      <c r="E230" s="421"/>
    </row>
    <row r="231" spans="1:5" ht="30" x14ac:dyDescent="0.25">
      <c r="A231" s="422"/>
      <c r="B231" s="672"/>
      <c r="C231" s="675"/>
      <c r="D231" s="421" t="s">
        <v>434</v>
      </c>
      <c r="E231" s="421"/>
    </row>
    <row r="232" spans="1:5" x14ac:dyDescent="0.25">
      <c r="A232" s="422"/>
      <c r="B232" s="672"/>
      <c r="C232" s="675"/>
      <c r="D232" s="421" t="s">
        <v>435</v>
      </c>
      <c r="E232" s="421"/>
    </row>
    <row r="233" spans="1:5" x14ac:dyDescent="0.25">
      <c r="A233" s="422"/>
      <c r="B233" s="672"/>
      <c r="C233" s="675"/>
      <c r="D233" s="421" t="s">
        <v>436</v>
      </c>
      <c r="E233" s="421"/>
    </row>
    <row r="234" spans="1:5" x14ac:dyDescent="0.25">
      <c r="A234" s="422"/>
      <c r="B234" s="672"/>
      <c r="C234" s="675"/>
      <c r="D234" s="421" t="s">
        <v>437</v>
      </c>
      <c r="E234" s="421"/>
    </row>
    <row r="235" spans="1:5" x14ac:dyDescent="0.25">
      <c r="A235" s="422"/>
      <c r="B235" s="672"/>
      <c r="C235" s="675"/>
      <c r="D235" s="421" t="s">
        <v>438</v>
      </c>
      <c r="E235" s="421"/>
    </row>
    <row r="236" spans="1:5" x14ac:dyDescent="0.25">
      <c r="A236" s="422"/>
      <c r="B236" s="672"/>
      <c r="C236" s="675"/>
      <c r="D236" s="421" t="s">
        <v>439</v>
      </c>
      <c r="E236" s="421"/>
    </row>
    <row r="237" spans="1:5" x14ac:dyDescent="0.25">
      <c r="A237" s="422"/>
      <c r="B237" s="672"/>
      <c r="C237" s="675"/>
      <c r="D237" s="421" t="s">
        <v>440</v>
      </c>
      <c r="E237" s="421"/>
    </row>
    <row r="238" spans="1:5" x14ac:dyDescent="0.25">
      <c r="A238" s="422"/>
      <c r="B238" s="672"/>
      <c r="C238" s="675"/>
      <c r="D238" s="421" t="s">
        <v>441</v>
      </c>
      <c r="E238" s="421"/>
    </row>
    <row r="239" spans="1:5" x14ac:dyDescent="0.25">
      <c r="A239" s="422"/>
      <c r="B239" s="672"/>
      <c r="C239" s="675"/>
      <c r="D239" s="421" t="s">
        <v>442</v>
      </c>
      <c r="E239" s="421"/>
    </row>
    <row r="240" spans="1:5" x14ac:dyDescent="0.25">
      <c r="A240" s="422"/>
      <c r="B240" s="672"/>
      <c r="C240" s="675"/>
      <c r="D240" s="421" t="s">
        <v>443</v>
      </c>
      <c r="E240" s="421"/>
    </row>
    <row r="241" spans="1:5" x14ac:dyDescent="0.25">
      <c r="A241" s="422"/>
      <c r="B241" s="672"/>
      <c r="C241" s="675"/>
      <c r="D241" s="421" t="s">
        <v>444</v>
      </c>
      <c r="E241" s="421"/>
    </row>
    <row r="242" spans="1:5" x14ac:dyDescent="0.25">
      <c r="A242" s="422"/>
      <c r="B242" s="672"/>
      <c r="C242" s="675"/>
      <c r="D242" s="421" t="s">
        <v>445</v>
      </c>
      <c r="E242" s="421"/>
    </row>
    <row r="243" spans="1:5" x14ac:dyDescent="0.25">
      <c r="A243" s="422"/>
      <c r="B243" s="672"/>
      <c r="C243" s="675"/>
      <c r="D243" s="421" t="s">
        <v>446</v>
      </c>
      <c r="E243" s="421"/>
    </row>
    <row r="244" spans="1:5" x14ac:dyDescent="0.25">
      <c r="A244" s="422"/>
      <c r="B244" s="672"/>
      <c r="C244" s="675"/>
      <c r="D244" s="421" t="s">
        <v>447</v>
      </c>
      <c r="E244" s="421"/>
    </row>
    <row r="245" spans="1:5" x14ac:dyDescent="0.25">
      <c r="A245" s="422"/>
      <c r="B245" s="672"/>
      <c r="C245" s="675"/>
      <c r="D245" s="421" t="s">
        <v>448</v>
      </c>
      <c r="E245" s="421"/>
    </row>
    <row r="246" spans="1:5" x14ac:dyDescent="0.25">
      <c r="A246" s="422"/>
      <c r="B246" s="672"/>
      <c r="C246" s="675"/>
      <c r="D246" s="421" t="s">
        <v>449</v>
      </c>
      <c r="E246" s="421"/>
    </row>
    <row r="247" spans="1:5" ht="30" x14ac:dyDescent="0.25">
      <c r="A247" s="422"/>
      <c r="B247" s="672"/>
      <c r="C247" s="675"/>
      <c r="D247" s="421" t="s">
        <v>450</v>
      </c>
      <c r="E247" s="421"/>
    </row>
    <row r="248" spans="1:5" ht="30" x14ac:dyDescent="0.25">
      <c r="A248" s="422"/>
      <c r="B248" s="672"/>
      <c r="C248" s="675"/>
      <c r="D248" s="421" t="s">
        <v>451</v>
      </c>
      <c r="E248" s="421"/>
    </row>
    <row r="249" spans="1:5" ht="30" x14ac:dyDescent="0.25">
      <c r="A249" s="422"/>
      <c r="B249" s="672"/>
      <c r="C249" s="675"/>
      <c r="D249" s="421" t="s">
        <v>452</v>
      </c>
      <c r="E249" s="421"/>
    </row>
    <row r="250" spans="1:5" ht="30" x14ac:dyDescent="0.25">
      <c r="A250" s="422"/>
      <c r="B250" s="672"/>
      <c r="C250" s="675"/>
      <c r="D250" s="421" t="s">
        <v>453</v>
      </c>
      <c r="E250" s="421"/>
    </row>
    <row r="251" spans="1:5" x14ac:dyDescent="0.25">
      <c r="A251" s="422"/>
      <c r="B251" s="672"/>
      <c r="C251" s="675"/>
      <c r="D251" s="421" t="s">
        <v>454</v>
      </c>
      <c r="E251" s="421"/>
    </row>
    <row r="252" spans="1:5" x14ac:dyDescent="0.25">
      <c r="A252" s="422"/>
      <c r="B252" s="672"/>
      <c r="C252" s="675"/>
      <c r="D252" s="421" t="s">
        <v>455</v>
      </c>
      <c r="E252" s="421"/>
    </row>
    <row r="253" spans="1:5" x14ac:dyDescent="0.25">
      <c r="A253" s="422"/>
      <c r="B253" s="672"/>
      <c r="C253" s="675"/>
      <c r="D253" s="421" t="s">
        <v>456</v>
      </c>
      <c r="E253" s="421"/>
    </row>
    <row r="254" spans="1:5" x14ac:dyDescent="0.25">
      <c r="A254" s="422"/>
      <c r="B254" s="672"/>
      <c r="C254" s="675"/>
      <c r="D254" s="421" t="s">
        <v>457</v>
      </c>
      <c r="E254" s="421"/>
    </row>
    <row r="255" spans="1:5" x14ac:dyDescent="0.25">
      <c r="A255" s="422"/>
      <c r="B255" s="672"/>
      <c r="C255" s="675"/>
      <c r="D255" s="421" t="s">
        <v>458</v>
      </c>
      <c r="E255" s="421"/>
    </row>
    <row r="256" spans="1:5" x14ac:dyDescent="0.25">
      <c r="A256" s="422"/>
      <c r="B256" s="672"/>
      <c r="C256" s="675"/>
      <c r="D256" s="421" t="s">
        <v>459</v>
      </c>
      <c r="E256" s="421"/>
    </row>
    <row r="257" spans="1:5" x14ac:dyDescent="0.25">
      <c r="A257" s="422"/>
      <c r="B257" s="672"/>
      <c r="C257" s="675"/>
      <c r="D257" s="421" t="s">
        <v>460</v>
      </c>
      <c r="E257" s="421"/>
    </row>
    <row r="258" spans="1:5" x14ac:dyDescent="0.25">
      <c r="A258" s="422"/>
      <c r="B258" s="672"/>
      <c r="C258" s="675"/>
      <c r="D258" s="421" t="s">
        <v>461</v>
      </c>
      <c r="E258" s="421"/>
    </row>
    <row r="259" spans="1:5" x14ac:dyDescent="0.25">
      <c r="A259" s="422"/>
      <c r="B259" s="672"/>
      <c r="C259" s="675"/>
      <c r="D259" s="421" t="s">
        <v>462</v>
      </c>
      <c r="E259" s="421"/>
    </row>
    <row r="260" spans="1:5" x14ac:dyDescent="0.25">
      <c r="A260" s="423"/>
      <c r="B260" s="672"/>
      <c r="C260" s="676"/>
      <c r="D260" s="421" t="s">
        <v>463</v>
      </c>
      <c r="E260" s="421"/>
    </row>
    <row r="261" spans="1:5" ht="30" x14ac:dyDescent="0.25">
      <c r="A261" s="422" t="s">
        <v>464</v>
      </c>
      <c r="B261" s="672"/>
      <c r="C261" s="674" t="s">
        <v>212</v>
      </c>
      <c r="D261" s="421" t="s">
        <v>465</v>
      </c>
      <c r="E261" s="421"/>
    </row>
    <row r="262" spans="1:5" ht="30" x14ac:dyDescent="0.25">
      <c r="A262" s="422"/>
      <c r="B262" s="672"/>
      <c r="C262" s="675"/>
      <c r="D262" s="421" t="s">
        <v>466</v>
      </c>
      <c r="E262" s="421"/>
    </row>
    <row r="263" spans="1:5" ht="30" x14ac:dyDescent="0.25">
      <c r="A263" s="422"/>
      <c r="B263" s="673"/>
      <c r="C263" s="676"/>
      <c r="D263" s="421" t="s">
        <v>467</v>
      </c>
      <c r="E263" s="421"/>
    </row>
    <row r="264" spans="1:5" ht="15" customHeight="1" x14ac:dyDescent="0.25">
      <c r="A264" s="420" t="s">
        <v>468</v>
      </c>
      <c r="B264" s="674" t="s">
        <v>469</v>
      </c>
      <c r="C264" s="674" t="s">
        <v>277</v>
      </c>
      <c r="D264" s="421" t="s">
        <v>470</v>
      </c>
      <c r="E264" s="421"/>
    </row>
    <row r="265" spans="1:5" x14ac:dyDescent="0.25">
      <c r="A265" s="422"/>
      <c r="B265" s="675"/>
      <c r="C265" s="675"/>
      <c r="D265" s="421" t="s">
        <v>471</v>
      </c>
      <c r="E265" s="421"/>
    </row>
    <row r="266" spans="1:5" x14ac:dyDescent="0.25">
      <c r="A266" s="422"/>
      <c r="B266" s="675"/>
      <c r="C266" s="675"/>
      <c r="D266" s="421" t="s">
        <v>472</v>
      </c>
      <c r="E266" s="421"/>
    </row>
    <row r="267" spans="1:5" ht="30" x14ac:dyDescent="0.25">
      <c r="A267" s="422"/>
      <c r="B267" s="675"/>
      <c r="C267" s="675"/>
      <c r="D267" s="421" t="s">
        <v>473</v>
      </c>
      <c r="E267" s="421"/>
    </row>
    <row r="268" spans="1:5" x14ac:dyDescent="0.25">
      <c r="A268" s="422"/>
      <c r="B268" s="675"/>
      <c r="C268" s="675"/>
      <c r="D268" s="421" t="s">
        <v>474</v>
      </c>
      <c r="E268" s="421"/>
    </row>
    <row r="269" spans="1:5" ht="30" x14ac:dyDescent="0.25">
      <c r="A269" s="422"/>
      <c r="B269" s="675"/>
      <c r="C269" s="675"/>
      <c r="D269" s="421" t="s">
        <v>475</v>
      </c>
      <c r="E269" s="421"/>
    </row>
    <row r="270" spans="1:5" x14ac:dyDescent="0.25">
      <c r="A270" s="422"/>
      <c r="B270" s="675"/>
      <c r="C270" s="675"/>
      <c r="D270" s="421" t="s">
        <v>476</v>
      </c>
      <c r="E270" s="421"/>
    </row>
    <row r="271" spans="1:5" ht="30" x14ac:dyDescent="0.25">
      <c r="A271" s="422"/>
      <c r="B271" s="675"/>
      <c r="C271" s="675"/>
      <c r="D271" s="421" t="s">
        <v>477</v>
      </c>
      <c r="E271" s="421"/>
    </row>
    <row r="272" spans="1:5" ht="30" x14ac:dyDescent="0.25">
      <c r="A272" s="422"/>
      <c r="B272" s="675"/>
      <c r="C272" s="675"/>
      <c r="D272" s="421" t="s">
        <v>478</v>
      </c>
      <c r="E272" s="421"/>
    </row>
    <row r="273" spans="1:5" ht="45" x14ac:dyDescent="0.25">
      <c r="A273" s="422"/>
      <c r="B273" s="675"/>
      <c r="C273" s="675"/>
      <c r="D273" s="421" t="s">
        <v>479</v>
      </c>
      <c r="E273" s="421"/>
    </row>
    <row r="274" spans="1:5" ht="30" x14ac:dyDescent="0.25">
      <c r="A274" s="422"/>
      <c r="B274" s="675"/>
      <c r="C274" s="675"/>
      <c r="D274" s="421" t="s">
        <v>480</v>
      </c>
      <c r="E274" s="421"/>
    </row>
    <row r="275" spans="1:5" ht="30" x14ac:dyDescent="0.25">
      <c r="A275" s="422"/>
      <c r="B275" s="675"/>
      <c r="C275" s="675"/>
      <c r="D275" s="421" t="s">
        <v>481</v>
      </c>
      <c r="E275" s="421"/>
    </row>
    <row r="276" spans="1:5" ht="30" x14ac:dyDescent="0.25">
      <c r="A276" s="422"/>
      <c r="B276" s="675"/>
      <c r="C276" s="675"/>
      <c r="D276" s="421" t="s">
        <v>482</v>
      </c>
      <c r="E276" s="421"/>
    </row>
    <row r="277" spans="1:5" ht="30" x14ac:dyDescent="0.25">
      <c r="A277" s="422"/>
      <c r="B277" s="675"/>
      <c r="C277" s="675"/>
      <c r="D277" s="421" t="s">
        <v>483</v>
      </c>
      <c r="E277" s="421"/>
    </row>
    <row r="278" spans="1:5" ht="30" x14ac:dyDescent="0.25">
      <c r="A278" s="422"/>
      <c r="B278" s="675"/>
      <c r="C278" s="675"/>
      <c r="D278" s="421" t="s">
        <v>484</v>
      </c>
      <c r="E278" s="421"/>
    </row>
    <row r="279" spans="1:5" x14ac:dyDescent="0.25">
      <c r="A279" s="422"/>
      <c r="B279" s="675"/>
      <c r="C279" s="675"/>
      <c r="D279" s="421" t="s">
        <v>485</v>
      </c>
      <c r="E279" s="421"/>
    </row>
    <row r="280" spans="1:5" x14ac:dyDescent="0.25">
      <c r="A280" s="422"/>
      <c r="B280" s="675"/>
      <c r="C280" s="675"/>
      <c r="D280" s="421" t="s">
        <v>486</v>
      </c>
      <c r="E280" s="421"/>
    </row>
    <row r="281" spans="1:5" x14ac:dyDescent="0.25">
      <c r="A281" s="422"/>
      <c r="B281" s="675"/>
      <c r="C281" s="675"/>
      <c r="D281" s="421" t="s">
        <v>487</v>
      </c>
      <c r="E281" s="421"/>
    </row>
    <row r="282" spans="1:5" ht="30" x14ac:dyDescent="0.25">
      <c r="A282" s="422"/>
      <c r="B282" s="675"/>
      <c r="C282" s="675"/>
      <c r="D282" s="421" t="s">
        <v>488</v>
      </c>
      <c r="E282" s="421"/>
    </row>
    <row r="283" spans="1:5" ht="30" x14ac:dyDescent="0.25">
      <c r="A283" s="422"/>
      <c r="B283" s="675"/>
      <c r="C283" s="676"/>
      <c r="D283" s="421" t="s">
        <v>489</v>
      </c>
      <c r="E283" s="421"/>
    </row>
    <row r="284" spans="1:5" x14ac:dyDescent="0.25">
      <c r="A284" s="420" t="s">
        <v>490</v>
      </c>
      <c r="B284" s="675"/>
      <c r="C284" s="674" t="s">
        <v>350</v>
      </c>
      <c r="D284" s="421" t="s">
        <v>491</v>
      </c>
      <c r="E284" s="421"/>
    </row>
    <row r="285" spans="1:5" x14ac:dyDescent="0.25">
      <c r="A285" s="422"/>
      <c r="B285" s="675"/>
      <c r="C285" s="675"/>
      <c r="D285" s="421" t="s">
        <v>492</v>
      </c>
      <c r="E285" s="421"/>
    </row>
    <row r="286" spans="1:5" x14ac:dyDescent="0.25">
      <c r="A286" s="422"/>
      <c r="B286" s="675"/>
      <c r="C286" s="675"/>
      <c r="D286" s="421" t="s">
        <v>493</v>
      </c>
      <c r="E286" s="421"/>
    </row>
    <row r="287" spans="1:5" x14ac:dyDescent="0.25">
      <c r="A287" s="422"/>
      <c r="B287" s="675"/>
      <c r="C287" s="675"/>
      <c r="D287" s="421" t="s">
        <v>494</v>
      </c>
      <c r="E287" s="421"/>
    </row>
    <row r="288" spans="1:5" x14ac:dyDescent="0.25">
      <c r="A288" s="422"/>
      <c r="B288" s="675"/>
      <c r="C288" s="675"/>
      <c r="D288" s="421" t="s">
        <v>495</v>
      </c>
      <c r="E288" s="421"/>
    </row>
    <row r="289" spans="1:5" x14ac:dyDescent="0.25">
      <c r="A289" s="422"/>
      <c r="B289" s="675"/>
      <c r="C289" s="675"/>
      <c r="D289" s="421" t="s">
        <v>496</v>
      </c>
      <c r="E289" s="421"/>
    </row>
    <row r="290" spans="1:5" x14ac:dyDescent="0.25">
      <c r="A290" s="423"/>
      <c r="B290" s="675"/>
      <c r="C290" s="676"/>
      <c r="D290" s="421" t="s">
        <v>497</v>
      </c>
      <c r="E290" s="421"/>
    </row>
    <row r="291" spans="1:5" x14ac:dyDescent="0.25">
      <c r="A291" s="422" t="s">
        <v>498</v>
      </c>
      <c r="B291" s="675"/>
      <c r="C291" s="674" t="s">
        <v>499</v>
      </c>
      <c r="D291" s="421" t="s">
        <v>500</v>
      </c>
      <c r="E291" s="421"/>
    </row>
    <row r="292" spans="1:5" x14ac:dyDescent="0.25">
      <c r="A292" s="422"/>
      <c r="B292" s="675"/>
      <c r="C292" s="675"/>
      <c r="D292" s="421" t="s">
        <v>501</v>
      </c>
      <c r="E292" s="421"/>
    </row>
    <row r="293" spans="1:5" x14ac:dyDescent="0.25">
      <c r="A293" s="422"/>
      <c r="B293" s="675"/>
      <c r="C293" s="675"/>
      <c r="D293" s="421" t="s">
        <v>502</v>
      </c>
      <c r="E293" s="421"/>
    </row>
    <row r="294" spans="1:5" x14ac:dyDescent="0.25">
      <c r="A294" s="422"/>
      <c r="B294" s="675"/>
      <c r="C294" s="675"/>
      <c r="D294" s="421" t="s">
        <v>503</v>
      </c>
      <c r="E294" s="421"/>
    </row>
    <row r="295" spans="1:5" x14ac:dyDescent="0.25">
      <c r="A295" s="422"/>
      <c r="B295" s="675"/>
      <c r="C295" s="675"/>
      <c r="D295" s="421" t="s">
        <v>504</v>
      </c>
      <c r="E295" s="421"/>
    </row>
    <row r="296" spans="1:5" ht="30" x14ac:dyDescent="0.25">
      <c r="A296" s="422"/>
      <c r="B296" s="675"/>
      <c r="C296" s="675"/>
      <c r="D296" s="421" t="s">
        <v>505</v>
      </c>
      <c r="E296" s="421"/>
    </row>
    <row r="297" spans="1:5" ht="60" x14ac:dyDescent="0.25">
      <c r="A297" s="422"/>
      <c r="B297" s="675"/>
      <c r="C297" s="676"/>
      <c r="D297" s="421" t="s">
        <v>506</v>
      </c>
      <c r="E297" s="421"/>
    </row>
    <row r="298" spans="1:5" x14ac:dyDescent="0.25">
      <c r="A298" s="420" t="s">
        <v>507</v>
      </c>
      <c r="B298" s="675"/>
      <c r="C298" s="674" t="s">
        <v>508</v>
      </c>
      <c r="D298" s="421" t="s">
        <v>509</v>
      </c>
      <c r="E298" s="421"/>
    </row>
    <row r="299" spans="1:5" x14ac:dyDescent="0.25">
      <c r="A299" s="422"/>
      <c r="B299" s="675"/>
      <c r="C299" s="675"/>
      <c r="D299" s="421" t="s">
        <v>510</v>
      </c>
      <c r="E299" s="421"/>
    </row>
    <row r="300" spans="1:5" ht="30" x14ac:dyDescent="0.25">
      <c r="A300" s="422"/>
      <c r="B300" s="675"/>
      <c r="C300" s="675"/>
      <c r="D300" s="421" t="s">
        <v>511</v>
      </c>
      <c r="E300" s="421"/>
    </row>
    <row r="301" spans="1:5" x14ac:dyDescent="0.25">
      <c r="A301" s="422"/>
      <c r="B301" s="675"/>
      <c r="C301" s="675"/>
      <c r="D301" s="421" t="s">
        <v>512</v>
      </c>
      <c r="E301" s="421"/>
    </row>
    <row r="302" spans="1:5" ht="60" x14ac:dyDescent="0.25">
      <c r="A302" s="423"/>
      <c r="B302" s="675"/>
      <c r="C302" s="676"/>
      <c r="D302" s="421" t="s">
        <v>513</v>
      </c>
      <c r="E302" s="421"/>
    </row>
    <row r="303" spans="1:5" ht="15" customHeight="1" x14ac:dyDescent="0.25">
      <c r="A303" s="422" t="s">
        <v>514</v>
      </c>
      <c r="B303" s="675"/>
      <c r="C303" s="674" t="s">
        <v>515</v>
      </c>
      <c r="D303" s="421" t="s">
        <v>516</v>
      </c>
      <c r="E303" s="421"/>
    </row>
    <row r="304" spans="1:5" x14ac:dyDescent="0.25">
      <c r="A304" s="422"/>
      <c r="B304" s="675"/>
      <c r="C304" s="675"/>
      <c r="D304" s="421" t="s">
        <v>517</v>
      </c>
      <c r="E304" s="421"/>
    </row>
    <row r="305" spans="1:5" x14ac:dyDescent="0.25">
      <c r="A305" s="422"/>
      <c r="B305" s="675"/>
      <c r="C305" s="675"/>
      <c r="D305" s="421" t="s">
        <v>518</v>
      </c>
      <c r="E305" s="421"/>
    </row>
    <row r="306" spans="1:5" ht="30" x14ac:dyDescent="0.25">
      <c r="A306" s="422"/>
      <c r="B306" s="675"/>
      <c r="C306" s="675"/>
      <c r="D306" s="421" t="s">
        <v>519</v>
      </c>
      <c r="E306" s="421"/>
    </row>
    <row r="307" spans="1:5" x14ac:dyDescent="0.25">
      <c r="A307" s="423"/>
      <c r="B307" s="676"/>
      <c r="C307" s="676"/>
      <c r="D307" s="421" t="s">
        <v>520</v>
      </c>
      <c r="E307" s="421"/>
    </row>
    <row r="308" spans="1:5" x14ac:dyDescent="0.25">
      <c r="A308" s="422" t="s">
        <v>521</v>
      </c>
      <c r="B308" s="671" t="s">
        <v>522</v>
      </c>
      <c r="C308" s="674" t="s">
        <v>236</v>
      </c>
      <c r="D308" s="421" t="s">
        <v>523</v>
      </c>
      <c r="E308" s="421"/>
    </row>
    <row r="309" spans="1:5" x14ac:dyDescent="0.25">
      <c r="A309" s="422"/>
      <c r="B309" s="672"/>
      <c r="C309" s="675"/>
      <c r="D309" s="421" t="s">
        <v>524</v>
      </c>
      <c r="E309" s="421"/>
    </row>
    <row r="310" spans="1:5" x14ac:dyDescent="0.25">
      <c r="A310" s="422"/>
      <c r="B310" s="672"/>
      <c r="C310" s="676"/>
      <c r="D310" s="421" t="s">
        <v>525</v>
      </c>
      <c r="E310" s="421"/>
    </row>
    <row r="311" spans="1:5" x14ac:dyDescent="0.25">
      <c r="A311" s="420" t="s">
        <v>526</v>
      </c>
      <c r="B311" s="672"/>
      <c r="C311" s="674" t="s">
        <v>109</v>
      </c>
      <c r="D311" s="421" t="s">
        <v>527</v>
      </c>
      <c r="E311" s="421"/>
    </row>
    <row r="312" spans="1:5" x14ac:dyDescent="0.25">
      <c r="A312" s="422"/>
      <c r="B312" s="672"/>
      <c r="C312" s="675"/>
      <c r="D312" s="421" t="s">
        <v>528</v>
      </c>
      <c r="E312" s="421"/>
    </row>
    <row r="313" spans="1:5" x14ac:dyDescent="0.25">
      <c r="A313" s="422"/>
      <c r="B313" s="672"/>
      <c r="C313" s="675"/>
      <c r="D313" s="421" t="s">
        <v>529</v>
      </c>
      <c r="E313" s="421"/>
    </row>
    <row r="314" spans="1:5" x14ac:dyDescent="0.25">
      <c r="A314" s="422"/>
      <c r="B314" s="672"/>
      <c r="C314" s="675"/>
      <c r="D314" s="421" t="s">
        <v>530</v>
      </c>
      <c r="E314" s="421"/>
    </row>
    <row r="315" spans="1:5" x14ac:dyDescent="0.25">
      <c r="A315" s="422"/>
      <c r="B315" s="672"/>
      <c r="C315" s="675"/>
      <c r="D315" s="421" t="s">
        <v>531</v>
      </c>
      <c r="E315" s="421"/>
    </row>
    <row r="316" spans="1:5" x14ac:dyDescent="0.25">
      <c r="A316" s="422"/>
      <c r="B316" s="672"/>
      <c r="C316" s="675"/>
      <c r="D316" s="421" t="s">
        <v>532</v>
      </c>
      <c r="E316" s="421"/>
    </row>
    <row r="317" spans="1:5" x14ac:dyDescent="0.25">
      <c r="A317" s="422"/>
      <c r="B317" s="672"/>
      <c r="C317" s="675"/>
      <c r="D317" s="421" t="s">
        <v>533</v>
      </c>
      <c r="E317" s="421"/>
    </row>
    <row r="318" spans="1:5" x14ac:dyDescent="0.25">
      <c r="A318" s="422"/>
      <c r="B318" s="672"/>
      <c r="C318" s="675"/>
      <c r="D318" s="421" t="s">
        <v>534</v>
      </c>
      <c r="E318" s="421"/>
    </row>
    <row r="319" spans="1:5" x14ac:dyDescent="0.25">
      <c r="A319" s="422"/>
      <c r="B319" s="672"/>
      <c r="C319" s="675"/>
      <c r="D319" s="421" t="s">
        <v>535</v>
      </c>
      <c r="E319" s="421"/>
    </row>
    <row r="320" spans="1:5" x14ac:dyDescent="0.25">
      <c r="A320" s="422"/>
      <c r="B320" s="672"/>
      <c r="C320" s="675"/>
      <c r="D320" s="421" t="s">
        <v>536</v>
      </c>
      <c r="E320" s="421"/>
    </row>
    <row r="321" spans="1:5" x14ac:dyDescent="0.25">
      <c r="A321" s="422"/>
      <c r="B321" s="672"/>
      <c r="C321" s="675"/>
      <c r="D321" s="421" t="s">
        <v>537</v>
      </c>
      <c r="E321" s="421"/>
    </row>
    <row r="322" spans="1:5" x14ac:dyDescent="0.25">
      <c r="A322" s="422"/>
      <c r="B322" s="672"/>
      <c r="C322" s="675"/>
      <c r="D322" s="421" t="s">
        <v>538</v>
      </c>
      <c r="E322" s="421"/>
    </row>
    <row r="323" spans="1:5" x14ac:dyDescent="0.25">
      <c r="A323" s="422"/>
      <c r="B323" s="672"/>
      <c r="C323" s="675"/>
      <c r="D323" s="421" t="s">
        <v>539</v>
      </c>
      <c r="E323" s="421"/>
    </row>
    <row r="324" spans="1:5" x14ac:dyDescent="0.25">
      <c r="A324" s="422"/>
      <c r="B324" s="672"/>
      <c r="C324" s="675"/>
      <c r="D324" s="421" t="s">
        <v>540</v>
      </c>
      <c r="E324" s="421"/>
    </row>
    <row r="325" spans="1:5" x14ac:dyDescent="0.25">
      <c r="A325" s="422"/>
      <c r="B325" s="672"/>
      <c r="C325" s="675"/>
      <c r="D325" s="421" t="s">
        <v>541</v>
      </c>
      <c r="E325" s="421"/>
    </row>
    <row r="326" spans="1:5" x14ac:dyDescent="0.25">
      <c r="A326" s="422"/>
      <c r="B326" s="672"/>
      <c r="C326" s="675"/>
      <c r="D326" s="421" t="s">
        <v>542</v>
      </c>
      <c r="E326" s="421"/>
    </row>
    <row r="327" spans="1:5" x14ac:dyDescent="0.25">
      <c r="A327" s="422"/>
      <c r="B327" s="672"/>
      <c r="C327" s="675"/>
      <c r="D327" s="421" t="s">
        <v>543</v>
      </c>
      <c r="E327" s="421"/>
    </row>
    <row r="328" spans="1:5" ht="30" x14ac:dyDescent="0.25">
      <c r="A328" s="422"/>
      <c r="B328" s="672"/>
      <c r="C328" s="675"/>
      <c r="D328" s="421" t="s">
        <v>544</v>
      </c>
      <c r="E328" s="421"/>
    </row>
    <row r="329" spans="1:5" ht="30" x14ac:dyDescent="0.25">
      <c r="A329" s="423"/>
      <c r="B329" s="672"/>
      <c r="C329" s="676"/>
      <c r="D329" s="421" t="s">
        <v>545</v>
      </c>
      <c r="E329" s="421"/>
    </row>
    <row r="330" spans="1:5" x14ac:dyDescent="0.25">
      <c r="A330" s="422" t="s">
        <v>546</v>
      </c>
      <c r="B330" s="672"/>
      <c r="C330" s="674" t="s">
        <v>212</v>
      </c>
      <c r="D330" s="421" t="s">
        <v>547</v>
      </c>
      <c r="E330" s="421"/>
    </row>
    <row r="331" spans="1:5" x14ac:dyDescent="0.25">
      <c r="A331" s="422"/>
      <c r="B331" s="672"/>
      <c r="C331" s="675"/>
      <c r="D331" s="421" t="s">
        <v>548</v>
      </c>
      <c r="E331" s="421"/>
    </row>
    <row r="332" spans="1:5" x14ac:dyDescent="0.25">
      <c r="A332" s="422"/>
      <c r="B332" s="672"/>
      <c r="C332" s="675"/>
      <c r="D332" s="421" t="s">
        <v>549</v>
      </c>
      <c r="E332" s="421"/>
    </row>
    <row r="333" spans="1:5" x14ac:dyDescent="0.25">
      <c r="A333" s="422"/>
      <c r="B333" s="672"/>
      <c r="C333" s="675"/>
      <c r="D333" s="421" t="s">
        <v>550</v>
      </c>
      <c r="E333" s="421"/>
    </row>
    <row r="334" spans="1:5" x14ac:dyDescent="0.25">
      <c r="A334" s="422"/>
      <c r="B334" s="672"/>
      <c r="C334" s="675"/>
      <c r="D334" s="421" t="s">
        <v>551</v>
      </c>
      <c r="E334" s="421"/>
    </row>
    <row r="335" spans="1:5" x14ac:dyDescent="0.25">
      <c r="A335" s="423"/>
      <c r="B335" s="673"/>
      <c r="C335" s="676"/>
      <c r="D335" s="421" t="s">
        <v>552</v>
      </c>
      <c r="E335" s="421"/>
    </row>
  </sheetData>
  <mergeCells count="33">
    <mergeCell ref="A1:D1"/>
    <mergeCell ref="B5:B26"/>
    <mergeCell ref="C5:C26"/>
    <mergeCell ref="B27:B42"/>
    <mergeCell ref="C28:C39"/>
    <mergeCell ref="C40:C42"/>
    <mergeCell ref="B43:B118"/>
    <mergeCell ref="C43:C45"/>
    <mergeCell ref="C46:C51"/>
    <mergeCell ref="C52:C89"/>
    <mergeCell ref="C91:C101"/>
    <mergeCell ref="C102:C118"/>
    <mergeCell ref="C142:C149"/>
    <mergeCell ref="C151:C154"/>
    <mergeCell ref="C155:C162"/>
    <mergeCell ref="C163:C217"/>
    <mergeCell ref="C219:C226"/>
    <mergeCell ref="C120:C141"/>
    <mergeCell ref="B119:B141"/>
    <mergeCell ref="B308:B335"/>
    <mergeCell ref="C308:C310"/>
    <mergeCell ref="C311:C329"/>
    <mergeCell ref="C330:C335"/>
    <mergeCell ref="B227:B263"/>
    <mergeCell ref="C228:C260"/>
    <mergeCell ref="C261:C263"/>
    <mergeCell ref="B264:B307"/>
    <mergeCell ref="C264:C283"/>
    <mergeCell ref="C284:C290"/>
    <mergeCell ref="C291:C297"/>
    <mergeCell ref="C298:C302"/>
    <mergeCell ref="C303:C307"/>
    <mergeCell ref="B142:B226"/>
  </mergeCells>
  <pageMargins left="0.7" right="0.7" top="0.75" bottom="0.75" header="0.3" footer="0.3"/>
  <pageSetup paperSize="512" scale="60" orientation="portrait" verticalDpi="14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30</vt:i4>
      </vt:variant>
    </vt:vector>
  </HeadingPairs>
  <TitlesOfParts>
    <vt:vector size="52" baseType="lpstr">
      <vt:lpstr>SAMPUL</vt:lpstr>
      <vt:lpstr>lembar pengesahan</vt:lpstr>
      <vt:lpstr>DPA SP</vt:lpstr>
      <vt:lpstr>DPA SP 1</vt:lpstr>
      <vt:lpstr>DPA SP 5</vt:lpstr>
      <vt:lpstr>DPA SP 5 1</vt:lpstr>
      <vt:lpstr>5.1.2</vt:lpstr>
      <vt:lpstr>5.2.1</vt:lpstr>
      <vt:lpstr>5.3.1</vt:lpstr>
      <vt:lpstr>5.3.2</vt:lpstr>
      <vt:lpstr>5.3.3</vt:lpstr>
      <vt:lpstr>5.4.2</vt:lpstr>
      <vt:lpstr>5.5.1</vt:lpstr>
      <vt:lpstr>5.5.3</vt:lpstr>
      <vt:lpstr>5.5.5</vt:lpstr>
      <vt:lpstr>5.5.7</vt:lpstr>
      <vt:lpstr>5.6.2</vt:lpstr>
      <vt:lpstr>5.7.1</vt:lpstr>
      <vt:lpstr>5.7.2</vt:lpstr>
      <vt:lpstr>5.7.5</vt:lpstr>
      <vt:lpstr>5.8</vt:lpstr>
      <vt:lpstr>ProKeg</vt:lpstr>
      <vt:lpstr>'5.1.2'!Print_Area</vt:lpstr>
      <vt:lpstr>'5.2.1'!Print_Area</vt:lpstr>
      <vt:lpstr>'5.3.1'!Print_Area</vt:lpstr>
      <vt:lpstr>'5.3.2'!Print_Area</vt:lpstr>
      <vt:lpstr>'5.3.3'!Print_Area</vt:lpstr>
      <vt:lpstr>'5.4.2'!Print_Area</vt:lpstr>
      <vt:lpstr>'5.5.1'!Print_Area</vt:lpstr>
      <vt:lpstr>'5.5.3'!Print_Area</vt:lpstr>
      <vt:lpstr>'5.5.5'!Print_Area</vt:lpstr>
      <vt:lpstr>'5.5.7'!Print_Area</vt:lpstr>
      <vt:lpstr>'5.6.2'!Print_Area</vt:lpstr>
      <vt:lpstr>'5.7.1'!Print_Area</vt:lpstr>
      <vt:lpstr>'5.7.2'!Print_Area</vt:lpstr>
      <vt:lpstr>'5.7.5'!Print_Area</vt:lpstr>
      <vt:lpstr>'5.8'!Print_Area</vt:lpstr>
      <vt:lpstr>'5.1.2'!Print_Titles</vt:lpstr>
      <vt:lpstr>'5.2.1'!Print_Titles</vt:lpstr>
      <vt:lpstr>'5.3.1'!Print_Titles</vt:lpstr>
      <vt:lpstr>'5.3.2'!Print_Titles</vt:lpstr>
      <vt:lpstr>'5.3.3'!Print_Titles</vt:lpstr>
      <vt:lpstr>'5.4.2'!Print_Titles</vt:lpstr>
      <vt:lpstr>'5.5.1'!Print_Titles</vt:lpstr>
      <vt:lpstr>'5.5.3'!Print_Titles</vt:lpstr>
      <vt:lpstr>'5.5.5'!Print_Titles</vt:lpstr>
      <vt:lpstr>'5.5.7'!Print_Titles</vt:lpstr>
      <vt:lpstr>'5.6.2'!Print_Titles</vt:lpstr>
      <vt:lpstr>'5.7.1'!Print_Titles</vt:lpstr>
      <vt:lpstr>'5.7.2'!Print_Titles</vt:lpstr>
      <vt:lpstr>'5.7.5'!Print_Titles</vt:lpstr>
      <vt:lpstr>'5.8'!Print_Titles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 randusari</dc:creator>
  <cp:lastModifiedBy>Jumadi Jetis</cp:lastModifiedBy>
  <cp:lastPrinted>2024-03-20T05:07:18Z</cp:lastPrinted>
  <dcterms:created xsi:type="dcterms:W3CDTF">2024-01-16T00:17:56Z</dcterms:created>
  <dcterms:modified xsi:type="dcterms:W3CDTF">2025-11-18T06:31:12Z</dcterms:modified>
</cp:coreProperties>
</file>